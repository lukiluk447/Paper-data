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lvp-my.sharepoint.com/personal/lukas_vlaeminck_vlot_be/Documents/school jaar 2025-2026/Einde project/Experiment/data/"/>
    </mc:Choice>
  </mc:AlternateContent>
  <xr:revisionPtr revIDLastSave="1616" documentId="8_{848A0AF6-95E5-4E6D-810F-315D5A952DFE}" xr6:coauthVersionLast="47" xr6:coauthVersionMax="47" xr10:uidLastSave="{2223E662-286D-4B49-8BBA-F1A0D1B4B2DE}"/>
  <bookViews>
    <workbookView xWindow="-120" yWindow="-120" windowWidth="29040" windowHeight="16440" tabRatio="733" activeTab="3" xr2:uid="{A2FB32E4-44EB-42A2-848A-7FE4FE0D1500}"/>
  </bookViews>
  <sheets>
    <sheet name="ARP detection method" sheetId="1" r:id="rId1"/>
    <sheet name="Laytency detection method" sheetId="2" r:id="rId2"/>
    <sheet name="ARPWatch detection method" sheetId="3" r:id="rId3"/>
    <sheet name="effectiviteit" sheetId="4" r:id="rId4"/>
    <sheet name="HTTPS" sheetId="5" r:id="rId5"/>
    <sheet name="Static ARP entrys" sheetId="7" r:id="rId6"/>
    <sheet name="VLANs" sheetId="8" r:id="rId7"/>
    <sheet name="Impact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4" l="1"/>
  <c r="C3" i="4"/>
  <c r="G7" i="4" s="1"/>
  <c r="H7" i="4" s="1"/>
  <c r="B3" i="4"/>
  <c r="E12" i="6"/>
  <c r="E11" i="6"/>
  <c r="E10" i="6"/>
  <c r="D12" i="6"/>
  <c r="D11" i="6"/>
  <c r="D10" i="6"/>
  <c r="O35" i="2"/>
  <c r="O36" i="2"/>
  <c r="O54" i="2" s="1"/>
  <c r="D22" i="4" s="1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34" i="2"/>
  <c r="D23" i="4"/>
  <c r="D21" i="4"/>
  <c r="D15" i="4"/>
  <c r="D16" i="4"/>
  <c r="D14" i="4"/>
  <c r="D9" i="4"/>
  <c r="D8" i="4"/>
  <c r="D7" i="4"/>
  <c r="C23" i="4"/>
  <c r="B23" i="4"/>
  <c r="C22" i="4"/>
  <c r="B22" i="4"/>
  <c r="C21" i="4"/>
  <c r="B21" i="4"/>
  <c r="C16" i="4"/>
  <c r="B16" i="4"/>
  <c r="C15" i="4"/>
  <c r="B15" i="4"/>
  <c r="K24" i="1"/>
  <c r="L24" i="1"/>
  <c r="M24" i="1"/>
  <c r="N24" i="1"/>
  <c r="J24" i="1"/>
  <c r="C50" i="1"/>
  <c r="D50" i="1"/>
  <c r="E50" i="1"/>
  <c r="F50" i="1"/>
  <c r="B50" i="1"/>
  <c r="D57" i="3"/>
  <c r="E57" i="3"/>
  <c r="F57" i="3"/>
  <c r="C57" i="3"/>
  <c r="B57" i="3"/>
  <c r="L35" i="3"/>
  <c r="M35" i="3"/>
  <c r="N35" i="3"/>
  <c r="O35" i="3"/>
  <c r="K35" i="3"/>
  <c r="P35" i="3" s="1"/>
  <c r="C84" i="2"/>
  <c r="D84" i="2"/>
  <c r="E84" i="2"/>
  <c r="F84" i="2"/>
  <c r="B84" i="2"/>
  <c r="K54" i="2"/>
  <c r="L54" i="2"/>
  <c r="M54" i="2"/>
  <c r="N54" i="2"/>
  <c r="J54" i="2"/>
  <c r="C14" i="4"/>
  <c r="B14" i="4"/>
  <c r="C9" i="4"/>
  <c r="B9" i="4"/>
  <c r="C8" i="4"/>
  <c r="B8" i="4"/>
  <c r="C7" i="4"/>
  <c r="B7" i="4"/>
  <c r="P26" i="3"/>
  <c r="P27" i="3"/>
  <c r="P28" i="3"/>
  <c r="P29" i="3"/>
  <c r="P30" i="3"/>
  <c r="P31" i="3"/>
  <c r="P32" i="3"/>
  <c r="P33" i="3"/>
  <c r="P34" i="3"/>
  <c r="P25" i="3"/>
  <c r="C35" i="3"/>
  <c r="D35" i="3"/>
  <c r="E35" i="3"/>
  <c r="F35" i="3"/>
  <c r="B35" i="3"/>
  <c r="G57" i="3"/>
  <c r="G84" i="2"/>
  <c r="C54" i="2"/>
  <c r="D54" i="2"/>
  <c r="E54" i="2"/>
  <c r="F54" i="2"/>
  <c r="B54" i="2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4" i="1"/>
  <c r="C24" i="1"/>
  <c r="G24" i="1" s="1"/>
  <c r="D24" i="1"/>
  <c r="E24" i="1"/>
  <c r="F24" i="1"/>
  <c r="B24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30" i="1"/>
  <c r="G48" i="3"/>
  <c r="G49" i="3"/>
  <c r="G50" i="3"/>
  <c r="G51" i="3"/>
  <c r="G52" i="3"/>
  <c r="G53" i="3"/>
  <c r="G54" i="3"/>
  <c r="G55" i="3"/>
  <c r="G56" i="3"/>
  <c r="G47" i="3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64" i="2"/>
  <c r="C73" i="8"/>
  <c r="B73" i="8"/>
  <c r="F69" i="8"/>
  <c r="C69" i="8"/>
  <c r="B69" i="8"/>
  <c r="F65" i="8"/>
  <c r="E65" i="8"/>
  <c r="D65" i="8"/>
  <c r="B65" i="8"/>
  <c r="F61" i="8"/>
  <c r="F55" i="8"/>
  <c r="E55" i="8"/>
  <c r="D55" i="8"/>
  <c r="B54" i="8"/>
  <c r="U47" i="8"/>
  <c r="T47" i="8"/>
  <c r="S47" i="8"/>
  <c r="R47" i="8"/>
  <c r="Q47" i="8"/>
  <c r="N47" i="8"/>
  <c r="F73" i="8" s="1"/>
  <c r="M47" i="8"/>
  <c r="E73" i="8" s="1"/>
  <c r="L47" i="8"/>
  <c r="D73" i="8" s="1"/>
  <c r="K47" i="8"/>
  <c r="J47" i="8"/>
  <c r="F47" i="8"/>
  <c r="E47" i="8"/>
  <c r="D47" i="8"/>
  <c r="C47" i="8"/>
  <c r="B47" i="8"/>
  <c r="G47" i="8" s="1"/>
  <c r="U46" i="8"/>
  <c r="T46" i="8"/>
  <c r="S46" i="8"/>
  <c r="R46" i="8"/>
  <c r="Q46" i="8"/>
  <c r="N46" i="8"/>
  <c r="F72" i="8" s="1"/>
  <c r="M46" i="8"/>
  <c r="E72" i="8" s="1"/>
  <c r="L46" i="8"/>
  <c r="D72" i="8" s="1"/>
  <c r="K46" i="8"/>
  <c r="C72" i="8" s="1"/>
  <c r="J46" i="8"/>
  <c r="B72" i="8" s="1"/>
  <c r="F46" i="8"/>
  <c r="E46" i="8"/>
  <c r="D46" i="8"/>
  <c r="C46" i="8"/>
  <c r="B46" i="8"/>
  <c r="U45" i="8"/>
  <c r="T45" i="8"/>
  <c r="S45" i="8"/>
  <c r="R45" i="8"/>
  <c r="Q45" i="8"/>
  <c r="N45" i="8"/>
  <c r="F71" i="8" s="1"/>
  <c r="M45" i="8"/>
  <c r="E71" i="8" s="1"/>
  <c r="L45" i="8"/>
  <c r="D71" i="8" s="1"/>
  <c r="K45" i="8"/>
  <c r="C71" i="8" s="1"/>
  <c r="J45" i="8"/>
  <c r="B71" i="8" s="1"/>
  <c r="F45" i="8"/>
  <c r="E45" i="8"/>
  <c r="D45" i="8"/>
  <c r="C45" i="8"/>
  <c r="B45" i="8"/>
  <c r="U44" i="8"/>
  <c r="T44" i="8"/>
  <c r="S44" i="8"/>
  <c r="R44" i="8"/>
  <c r="Q44" i="8"/>
  <c r="N44" i="8"/>
  <c r="F70" i="8" s="1"/>
  <c r="M44" i="8"/>
  <c r="E70" i="8" s="1"/>
  <c r="L44" i="8"/>
  <c r="D70" i="8" s="1"/>
  <c r="K44" i="8"/>
  <c r="C70" i="8" s="1"/>
  <c r="J44" i="8"/>
  <c r="B70" i="8" s="1"/>
  <c r="F44" i="8"/>
  <c r="E44" i="8"/>
  <c r="D44" i="8"/>
  <c r="C44" i="8"/>
  <c r="B44" i="8"/>
  <c r="U43" i="8"/>
  <c r="T43" i="8"/>
  <c r="S43" i="8"/>
  <c r="R43" i="8"/>
  <c r="Q43" i="8"/>
  <c r="N43" i="8"/>
  <c r="M43" i="8"/>
  <c r="E69" i="8" s="1"/>
  <c r="L43" i="8"/>
  <c r="D69" i="8" s="1"/>
  <c r="K43" i="8"/>
  <c r="J43" i="8"/>
  <c r="F43" i="8"/>
  <c r="E43" i="8"/>
  <c r="D43" i="8"/>
  <c r="C43" i="8"/>
  <c r="B43" i="8"/>
  <c r="U42" i="8"/>
  <c r="T42" i="8"/>
  <c r="S42" i="8"/>
  <c r="R42" i="8"/>
  <c r="Q42" i="8"/>
  <c r="N42" i="8"/>
  <c r="F68" i="8" s="1"/>
  <c r="M42" i="8"/>
  <c r="E68" i="8" s="1"/>
  <c r="L42" i="8"/>
  <c r="D68" i="8" s="1"/>
  <c r="K42" i="8"/>
  <c r="C68" i="8" s="1"/>
  <c r="J42" i="8"/>
  <c r="B68" i="8" s="1"/>
  <c r="F42" i="8"/>
  <c r="E42" i="8"/>
  <c r="D42" i="8"/>
  <c r="C42" i="8"/>
  <c r="B42" i="8"/>
  <c r="G42" i="8" s="1"/>
  <c r="U41" i="8"/>
  <c r="T41" i="8"/>
  <c r="S41" i="8"/>
  <c r="R41" i="8"/>
  <c r="Q41" i="8"/>
  <c r="N41" i="8"/>
  <c r="F67" i="8" s="1"/>
  <c r="M41" i="8"/>
  <c r="E67" i="8" s="1"/>
  <c r="L41" i="8"/>
  <c r="D67" i="8" s="1"/>
  <c r="K41" i="8"/>
  <c r="C67" i="8" s="1"/>
  <c r="J41" i="8"/>
  <c r="B67" i="8" s="1"/>
  <c r="F41" i="8"/>
  <c r="E41" i="8"/>
  <c r="D41" i="8"/>
  <c r="C41" i="8"/>
  <c r="B41" i="8"/>
  <c r="U40" i="8"/>
  <c r="T40" i="8"/>
  <c r="S40" i="8"/>
  <c r="R40" i="8"/>
  <c r="Q40" i="8"/>
  <c r="N40" i="8"/>
  <c r="F66" i="8" s="1"/>
  <c r="M40" i="8"/>
  <c r="E66" i="8" s="1"/>
  <c r="L40" i="8"/>
  <c r="D66" i="8" s="1"/>
  <c r="K40" i="8"/>
  <c r="C66" i="8" s="1"/>
  <c r="J40" i="8"/>
  <c r="B66" i="8" s="1"/>
  <c r="F40" i="8"/>
  <c r="E40" i="8"/>
  <c r="D40" i="8"/>
  <c r="C40" i="8"/>
  <c r="B40" i="8"/>
  <c r="U39" i="8"/>
  <c r="T39" i="8"/>
  <c r="S39" i="8"/>
  <c r="R39" i="8"/>
  <c r="Q39" i="8"/>
  <c r="N39" i="8"/>
  <c r="M39" i="8"/>
  <c r="L39" i="8"/>
  <c r="K39" i="8"/>
  <c r="C65" i="8" s="1"/>
  <c r="J39" i="8"/>
  <c r="F39" i="8"/>
  <c r="E39" i="8"/>
  <c r="D39" i="8"/>
  <c r="C39" i="8"/>
  <c r="B39" i="8"/>
  <c r="G39" i="8" s="1"/>
  <c r="U38" i="8"/>
  <c r="T38" i="8"/>
  <c r="S38" i="8"/>
  <c r="R38" i="8"/>
  <c r="Q38" i="8"/>
  <c r="N38" i="8"/>
  <c r="F64" i="8" s="1"/>
  <c r="M38" i="8"/>
  <c r="E64" i="8" s="1"/>
  <c r="L38" i="8"/>
  <c r="D64" i="8" s="1"/>
  <c r="K38" i="8"/>
  <c r="C64" i="8" s="1"/>
  <c r="J38" i="8"/>
  <c r="B64" i="8" s="1"/>
  <c r="F38" i="8"/>
  <c r="E38" i="8"/>
  <c r="D38" i="8"/>
  <c r="C38" i="8"/>
  <c r="B38" i="8"/>
  <c r="U37" i="8"/>
  <c r="T37" i="8"/>
  <c r="S37" i="8"/>
  <c r="R37" i="8"/>
  <c r="Q37" i="8"/>
  <c r="N37" i="8"/>
  <c r="F63" i="8" s="1"/>
  <c r="M37" i="8"/>
  <c r="E63" i="8" s="1"/>
  <c r="L37" i="8"/>
  <c r="D63" i="8" s="1"/>
  <c r="K37" i="8"/>
  <c r="C63" i="8" s="1"/>
  <c r="J37" i="8"/>
  <c r="B63" i="8" s="1"/>
  <c r="F37" i="8"/>
  <c r="E37" i="8"/>
  <c r="D37" i="8"/>
  <c r="C37" i="8"/>
  <c r="B37" i="8"/>
  <c r="U36" i="8"/>
  <c r="T36" i="8"/>
  <c r="S36" i="8"/>
  <c r="R36" i="8"/>
  <c r="Q36" i="8"/>
  <c r="N36" i="8"/>
  <c r="F62" i="8" s="1"/>
  <c r="M36" i="8"/>
  <c r="E62" i="8" s="1"/>
  <c r="L36" i="8"/>
  <c r="D62" i="8" s="1"/>
  <c r="K36" i="8"/>
  <c r="C62" i="8" s="1"/>
  <c r="J36" i="8"/>
  <c r="B62" i="8" s="1"/>
  <c r="F36" i="8"/>
  <c r="E36" i="8"/>
  <c r="D36" i="8"/>
  <c r="C36" i="8"/>
  <c r="B36" i="8"/>
  <c r="U35" i="8"/>
  <c r="T35" i="8"/>
  <c r="S35" i="8"/>
  <c r="R35" i="8"/>
  <c r="Q35" i="8"/>
  <c r="N35" i="8"/>
  <c r="M35" i="8"/>
  <c r="E61" i="8" s="1"/>
  <c r="L35" i="8"/>
  <c r="D61" i="8" s="1"/>
  <c r="K35" i="8"/>
  <c r="C61" i="8" s="1"/>
  <c r="J35" i="8"/>
  <c r="B61" i="8" s="1"/>
  <c r="F35" i="8"/>
  <c r="E35" i="8"/>
  <c r="D35" i="8"/>
  <c r="C35" i="8"/>
  <c r="B35" i="8"/>
  <c r="G35" i="8" s="1"/>
  <c r="U34" i="8"/>
  <c r="T34" i="8"/>
  <c r="S34" i="8"/>
  <c r="R34" i="8"/>
  <c r="Q34" i="8"/>
  <c r="N34" i="8"/>
  <c r="F60" i="8" s="1"/>
  <c r="M34" i="8"/>
  <c r="E60" i="8" s="1"/>
  <c r="L34" i="8"/>
  <c r="D60" i="8" s="1"/>
  <c r="K34" i="8"/>
  <c r="C60" i="8" s="1"/>
  <c r="J34" i="8"/>
  <c r="B60" i="8" s="1"/>
  <c r="F34" i="8"/>
  <c r="E34" i="8"/>
  <c r="D34" i="8"/>
  <c r="C34" i="8"/>
  <c r="B34" i="8"/>
  <c r="G34" i="8" s="1"/>
  <c r="U33" i="8"/>
  <c r="T33" i="8"/>
  <c r="S33" i="8"/>
  <c r="R33" i="8"/>
  <c r="Q33" i="8"/>
  <c r="N33" i="8"/>
  <c r="F59" i="8" s="1"/>
  <c r="M33" i="8"/>
  <c r="E59" i="8" s="1"/>
  <c r="L33" i="8"/>
  <c r="D59" i="8" s="1"/>
  <c r="K33" i="8"/>
  <c r="C59" i="8" s="1"/>
  <c r="J33" i="8"/>
  <c r="B59" i="8" s="1"/>
  <c r="F33" i="8"/>
  <c r="E33" i="8"/>
  <c r="D33" i="8"/>
  <c r="C33" i="8"/>
  <c r="B33" i="8"/>
  <c r="U32" i="8"/>
  <c r="T32" i="8"/>
  <c r="S32" i="8"/>
  <c r="R32" i="8"/>
  <c r="Q32" i="8"/>
  <c r="N32" i="8"/>
  <c r="F58" i="8" s="1"/>
  <c r="M32" i="8"/>
  <c r="E58" i="8" s="1"/>
  <c r="L32" i="8"/>
  <c r="D58" i="8" s="1"/>
  <c r="K32" i="8"/>
  <c r="C58" i="8" s="1"/>
  <c r="J32" i="8"/>
  <c r="B58" i="8" s="1"/>
  <c r="F32" i="8"/>
  <c r="E32" i="8"/>
  <c r="D32" i="8"/>
  <c r="C32" i="8"/>
  <c r="B32" i="8"/>
  <c r="U31" i="8"/>
  <c r="T31" i="8"/>
  <c r="S31" i="8"/>
  <c r="R31" i="8"/>
  <c r="Q31" i="8"/>
  <c r="N31" i="8"/>
  <c r="F57" i="8" s="1"/>
  <c r="M31" i="8"/>
  <c r="E57" i="8" s="1"/>
  <c r="L31" i="8"/>
  <c r="D57" i="8" s="1"/>
  <c r="K31" i="8"/>
  <c r="C57" i="8" s="1"/>
  <c r="J31" i="8"/>
  <c r="B57" i="8" s="1"/>
  <c r="G57" i="8" s="1"/>
  <c r="F31" i="8"/>
  <c r="E31" i="8"/>
  <c r="D31" i="8"/>
  <c r="C31" i="8"/>
  <c r="B31" i="8"/>
  <c r="U30" i="8"/>
  <c r="T30" i="8"/>
  <c r="S30" i="8"/>
  <c r="R30" i="8"/>
  <c r="Q30" i="8"/>
  <c r="N30" i="8"/>
  <c r="F56" i="8" s="1"/>
  <c r="M30" i="8"/>
  <c r="E56" i="8" s="1"/>
  <c r="L30" i="8"/>
  <c r="D56" i="8" s="1"/>
  <c r="K30" i="8"/>
  <c r="C56" i="8" s="1"/>
  <c r="J30" i="8"/>
  <c r="B56" i="8" s="1"/>
  <c r="F30" i="8"/>
  <c r="E30" i="8"/>
  <c r="D30" i="8"/>
  <c r="C30" i="8"/>
  <c r="B30" i="8"/>
  <c r="G30" i="8" s="1"/>
  <c r="U29" i="8"/>
  <c r="T29" i="8"/>
  <c r="S29" i="8"/>
  <c r="R29" i="8"/>
  <c r="Q29" i="8"/>
  <c r="N29" i="8"/>
  <c r="M29" i="8"/>
  <c r="L29" i="8"/>
  <c r="K29" i="8"/>
  <c r="C55" i="8" s="1"/>
  <c r="J29" i="8"/>
  <c r="B55" i="8" s="1"/>
  <c r="F29" i="8"/>
  <c r="E29" i="8"/>
  <c r="D29" i="8"/>
  <c r="C29" i="8"/>
  <c r="B29" i="8"/>
  <c r="U28" i="8"/>
  <c r="T28" i="8"/>
  <c r="S28" i="8"/>
  <c r="R28" i="8"/>
  <c r="Q28" i="8"/>
  <c r="N28" i="8"/>
  <c r="F54" i="8" s="1"/>
  <c r="M28" i="8"/>
  <c r="E54" i="8" s="1"/>
  <c r="L28" i="8"/>
  <c r="D54" i="8" s="1"/>
  <c r="K28" i="8"/>
  <c r="C54" i="8" s="1"/>
  <c r="J28" i="8"/>
  <c r="F28" i="8"/>
  <c r="E28" i="8"/>
  <c r="D28" i="8"/>
  <c r="D48" i="8" s="1"/>
  <c r="C28" i="8"/>
  <c r="C48" i="8" s="1"/>
  <c r="B28" i="8"/>
  <c r="F71" i="7"/>
  <c r="E71" i="7"/>
  <c r="D71" i="7"/>
  <c r="F67" i="7"/>
  <c r="E67" i="7"/>
  <c r="D67" i="7"/>
  <c r="C67" i="7"/>
  <c r="B67" i="7"/>
  <c r="G67" i="7" s="1"/>
  <c r="C65" i="7"/>
  <c r="D64" i="7"/>
  <c r="F63" i="7"/>
  <c r="D61" i="7"/>
  <c r="C61" i="7"/>
  <c r="D57" i="7"/>
  <c r="C57" i="7"/>
  <c r="B57" i="7"/>
  <c r="B55" i="7"/>
  <c r="C54" i="7"/>
  <c r="B54" i="7"/>
  <c r="U47" i="7"/>
  <c r="T47" i="7"/>
  <c r="S47" i="7"/>
  <c r="R47" i="7"/>
  <c r="Q47" i="7"/>
  <c r="N47" i="7"/>
  <c r="F73" i="7" s="1"/>
  <c r="M47" i="7"/>
  <c r="E73" i="7" s="1"/>
  <c r="L47" i="7"/>
  <c r="D73" i="7" s="1"/>
  <c r="K47" i="7"/>
  <c r="C73" i="7" s="1"/>
  <c r="J47" i="7"/>
  <c r="B73" i="7" s="1"/>
  <c r="F47" i="7"/>
  <c r="E47" i="7"/>
  <c r="D47" i="7"/>
  <c r="C47" i="7"/>
  <c r="B47" i="7"/>
  <c r="G47" i="7" s="1"/>
  <c r="U46" i="7"/>
  <c r="T46" i="7"/>
  <c r="S46" i="7"/>
  <c r="R46" i="7"/>
  <c r="Q46" i="7"/>
  <c r="N46" i="7"/>
  <c r="F72" i="7" s="1"/>
  <c r="M46" i="7"/>
  <c r="E72" i="7" s="1"/>
  <c r="L46" i="7"/>
  <c r="D72" i="7" s="1"/>
  <c r="K46" i="7"/>
  <c r="C72" i="7" s="1"/>
  <c r="J46" i="7"/>
  <c r="B72" i="7" s="1"/>
  <c r="F46" i="7"/>
  <c r="E46" i="7"/>
  <c r="D46" i="7"/>
  <c r="C46" i="7"/>
  <c r="B46" i="7"/>
  <c r="U45" i="7"/>
  <c r="T45" i="7"/>
  <c r="S45" i="7"/>
  <c r="R45" i="7"/>
  <c r="Q45" i="7"/>
  <c r="N45" i="7"/>
  <c r="M45" i="7"/>
  <c r="L45" i="7"/>
  <c r="K45" i="7"/>
  <c r="C71" i="7" s="1"/>
  <c r="J45" i="7"/>
  <c r="B71" i="7" s="1"/>
  <c r="F45" i="7"/>
  <c r="E45" i="7"/>
  <c r="D45" i="7"/>
  <c r="C45" i="7"/>
  <c r="B45" i="7"/>
  <c r="U44" i="7"/>
  <c r="T44" i="7"/>
  <c r="S44" i="7"/>
  <c r="R44" i="7"/>
  <c r="Q44" i="7"/>
  <c r="N44" i="7"/>
  <c r="F70" i="7" s="1"/>
  <c r="M44" i="7"/>
  <c r="E70" i="7" s="1"/>
  <c r="L44" i="7"/>
  <c r="D70" i="7" s="1"/>
  <c r="K44" i="7"/>
  <c r="C70" i="7" s="1"/>
  <c r="J44" i="7"/>
  <c r="B70" i="7" s="1"/>
  <c r="G70" i="7" s="1"/>
  <c r="F44" i="7"/>
  <c r="E44" i="7"/>
  <c r="D44" i="7"/>
  <c r="C44" i="7"/>
  <c r="B44" i="7"/>
  <c r="G44" i="7" s="1"/>
  <c r="U43" i="7"/>
  <c r="T43" i="7"/>
  <c r="S43" i="7"/>
  <c r="R43" i="7"/>
  <c r="Q43" i="7"/>
  <c r="N43" i="7"/>
  <c r="F69" i="7" s="1"/>
  <c r="M43" i="7"/>
  <c r="E69" i="7" s="1"/>
  <c r="L43" i="7"/>
  <c r="D69" i="7" s="1"/>
  <c r="K43" i="7"/>
  <c r="C69" i="7" s="1"/>
  <c r="J43" i="7"/>
  <c r="B69" i="7" s="1"/>
  <c r="F43" i="7"/>
  <c r="E43" i="7"/>
  <c r="D43" i="7"/>
  <c r="C43" i="7"/>
  <c r="B43" i="7"/>
  <c r="G43" i="7" s="1"/>
  <c r="U42" i="7"/>
  <c r="T42" i="7"/>
  <c r="S42" i="7"/>
  <c r="R42" i="7"/>
  <c r="Q42" i="7"/>
  <c r="N42" i="7"/>
  <c r="F68" i="7" s="1"/>
  <c r="M42" i="7"/>
  <c r="E68" i="7" s="1"/>
  <c r="L42" i="7"/>
  <c r="D68" i="7" s="1"/>
  <c r="K42" i="7"/>
  <c r="C68" i="7" s="1"/>
  <c r="J42" i="7"/>
  <c r="B68" i="7" s="1"/>
  <c r="F42" i="7"/>
  <c r="E42" i="7"/>
  <c r="D42" i="7"/>
  <c r="C42" i="7"/>
  <c r="B42" i="7"/>
  <c r="U41" i="7"/>
  <c r="T41" i="7"/>
  <c r="S41" i="7"/>
  <c r="R41" i="7"/>
  <c r="Q41" i="7"/>
  <c r="N41" i="7"/>
  <c r="M41" i="7"/>
  <c r="L41" i="7"/>
  <c r="K41" i="7"/>
  <c r="J41" i="7"/>
  <c r="F41" i="7"/>
  <c r="E41" i="7"/>
  <c r="D41" i="7"/>
  <c r="C41" i="7"/>
  <c r="B41" i="7"/>
  <c r="U40" i="7"/>
  <c r="T40" i="7"/>
  <c r="S40" i="7"/>
  <c r="R40" i="7"/>
  <c r="Q40" i="7"/>
  <c r="N40" i="7"/>
  <c r="F66" i="7" s="1"/>
  <c r="M40" i="7"/>
  <c r="E66" i="7" s="1"/>
  <c r="L40" i="7"/>
  <c r="D66" i="7" s="1"/>
  <c r="K40" i="7"/>
  <c r="C66" i="7" s="1"/>
  <c r="J40" i="7"/>
  <c r="B66" i="7" s="1"/>
  <c r="G66" i="7" s="1"/>
  <c r="F40" i="7"/>
  <c r="E40" i="7"/>
  <c r="D40" i="7"/>
  <c r="C40" i="7"/>
  <c r="B40" i="7"/>
  <c r="G40" i="7" s="1"/>
  <c r="U39" i="7"/>
  <c r="T39" i="7"/>
  <c r="S39" i="7"/>
  <c r="R39" i="7"/>
  <c r="Q39" i="7"/>
  <c r="N39" i="7"/>
  <c r="F65" i="7" s="1"/>
  <c r="M39" i="7"/>
  <c r="E65" i="7" s="1"/>
  <c r="L39" i="7"/>
  <c r="D65" i="7" s="1"/>
  <c r="K39" i="7"/>
  <c r="J39" i="7"/>
  <c r="B65" i="7" s="1"/>
  <c r="F39" i="7"/>
  <c r="E39" i="7"/>
  <c r="D39" i="7"/>
  <c r="C39" i="7"/>
  <c r="B39" i="7"/>
  <c r="G39" i="7" s="1"/>
  <c r="U38" i="7"/>
  <c r="T38" i="7"/>
  <c r="S38" i="7"/>
  <c r="R38" i="7"/>
  <c r="Q38" i="7"/>
  <c r="N38" i="7"/>
  <c r="F64" i="7" s="1"/>
  <c r="M38" i="7"/>
  <c r="E64" i="7" s="1"/>
  <c r="L38" i="7"/>
  <c r="K38" i="7"/>
  <c r="C64" i="7" s="1"/>
  <c r="J38" i="7"/>
  <c r="B64" i="7" s="1"/>
  <c r="F38" i="7"/>
  <c r="E38" i="7"/>
  <c r="D38" i="7"/>
  <c r="C38" i="7"/>
  <c r="B38" i="7"/>
  <c r="U37" i="7"/>
  <c r="T37" i="7"/>
  <c r="S37" i="7"/>
  <c r="R37" i="7"/>
  <c r="Q37" i="7"/>
  <c r="N37" i="7"/>
  <c r="M37" i="7"/>
  <c r="E63" i="7" s="1"/>
  <c r="L37" i="7"/>
  <c r="D63" i="7" s="1"/>
  <c r="K37" i="7"/>
  <c r="C63" i="7" s="1"/>
  <c r="J37" i="7"/>
  <c r="B63" i="7" s="1"/>
  <c r="F37" i="7"/>
  <c r="E37" i="7"/>
  <c r="D37" i="7"/>
  <c r="C37" i="7"/>
  <c r="B37" i="7"/>
  <c r="U36" i="7"/>
  <c r="T36" i="7"/>
  <c r="S36" i="7"/>
  <c r="R36" i="7"/>
  <c r="Q36" i="7"/>
  <c r="N36" i="7"/>
  <c r="F62" i="7" s="1"/>
  <c r="M36" i="7"/>
  <c r="E62" i="7" s="1"/>
  <c r="L36" i="7"/>
  <c r="D62" i="7" s="1"/>
  <c r="K36" i="7"/>
  <c r="C62" i="7" s="1"/>
  <c r="J36" i="7"/>
  <c r="B62" i="7" s="1"/>
  <c r="G62" i="7" s="1"/>
  <c r="F36" i="7"/>
  <c r="E36" i="7"/>
  <c r="D36" i="7"/>
  <c r="C36" i="7"/>
  <c r="B36" i="7"/>
  <c r="G36" i="7" s="1"/>
  <c r="U35" i="7"/>
  <c r="T35" i="7"/>
  <c r="S35" i="7"/>
  <c r="R35" i="7"/>
  <c r="Q35" i="7"/>
  <c r="N35" i="7"/>
  <c r="F61" i="7" s="1"/>
  <c r="M35" i="7"/>
  <c r="E61" i="7" s="1"/>
  <c r="L35" i="7"/>
  <c r="K35" i="7"/>
  <c r="J35" i="7"/>
  <c r="B61" i="7" s="1"/>
  <c r="F35" i="7"/>
  <c r="E35" i="7"/>
  <c r="D35" i="7"/>
  <c r="C35" i="7"/>
  <c r="B35" i="7"/>
  <c r="G35" i="7" s="1"/>
  <c r="U34" i="7"/>
  <c r="T34" i="7"/>
  <c r="S34" i="7"/>
  <c r="R34" i="7"/>
  <c r="Q34" i="7"/>
  <c r="N34" i="7"/>
  <c r="F60" i="7" s="1"/>
  <c r="M34" i="7"/>
  <c r="E60" i="7" s="1"/>
  <c r="L34" i="7"/>
  <c r="D60" i="7" s="1"/>
  <c r="K34" i="7"/>
  <c r="C60" i="7" s="1"/>
  <c r="J34" i="7"/>
  <c r="B60" i="7" s="1"/>
  <c r="F34" i="7"/>
  <c r="E34" i="7"/>
  <c r="D34" i="7"/>
  <c r="C34" i="7"/>
  <c r="B34" i="7"/>
  <c r="U33" i="7"/>
  <c r="T33" i="7"/>
  <c r="S33" i="7"/>
  <c r="R33" i="7"/>
  <c r="Q33" i="7"/>
  <c r="N33" i="7"/>
  <c r="F59" i="7" s="1"/>
  <c r="M33" i="7"/>
  <c r="E59" i="7" s="1"/>
  <c r="L33" i="7"/>
  <c r="D59" i="7" s="1"/>
  <c r="K33" i="7"/>
  <c r="C59" i="7" s="1"/>
  <c r="J33" i="7"/>
  <c r="B59" i="7" s="1"/>
  <c r="G59" i="7" s="1"/>
  <c r="F33" i="7"/>
  <c r="E33" i="7"/>
  <c r="D33" i="7"/>
  <c r="C33" i="7"/>
  <c r="B33" i="7"/>
  <c r="U32" i="7"/>
  <c r="T32" i="7"/>
  <c r="S32" i="7"/>
  <c r="R32" i="7"/>
  <c r="Q32" i="7"/>
  <c r="N32" i="7"/>
  <c r="F58" i="7" s="1"/>
  <c r="M32" i="7"/>
  <c r="E58" i="7" s="1"/>
  <c r="L32" i="7"/>
  <c r="D58" i="7" s="1"/>
  <c r="K32" i="7"/>
  <c r="C58" i="7" s="1"/>
  <c r="J32" i="7"/>
  <c r="B58" i="7" s="1"/>
  <c r="F32" i="7"/>
  <c r="E32" i="7"/>
  <c r="D32" i="7"/>
  <c r="C32" i="7"/>
  <c r="B32" i="7"/>
  <c r="G32" i="7" s="1"/>
  <c r="U31" i="7"/>
  <c r="T31" i="7"/>
  <c r="S31" i="7"/>
  <c r="R31" i="7"/>
  <c r="Q31" i="7"/>
  <c r="N31" i="7"/>
  <c r="F57" i="7" s="1"/>
  <c r="M31" i="7"/>
  <c r="E57" i="7" s="1"/>
  <c r="L31" i="7"/>
  <c r="K31" i="7"/>
  <c r="J31" i="7"/>
  <c r="F31" i="7"/>
  <c r="E31" i="7"/>
  <c r="D31" i="7"/>
  <c r="C31" i="7"/>
  <c r="B31" i="7"/>
  <c r="G31" i="7" s="1"/>
  <c r="U30" i="7"/>
  <c r="T30" i="7"/>
  <c r="S30" i="7"/>
  <c r="R30" i="7"/>
  <c r="Q30" i="7"/>
  <c r="N30" i="7"/>
  <c r="F56" i="7" s="1"/>
  <c r="M30" i="7"/>
  <c r="E56" i="7" s="1"/>
  <c r="L30" i="7"/>
  <c r="D56" i="7" s="1"/>
  <c r="K30" i="7"/>
  <c r="C56" i="7" s="1"/>
  <c r="J30" i="7"/>
  <c r="B56" i="7" s="1"/>
  <c r="F30" i="7"/>
  <c r="E30" i="7"/>
  <c r="D30" i="7"/>
  <c r="C30" i="7"/>
  <c r="B30" i="7"/>
  <c r="U29" i="7"/>
  <c r="T29" i="7"/>
  <c r="S29" i="7"/>
  <c r="R29" i="7"/>
  <c r="Q29" i="7"/>
  <c r="N29" i="7"/>
  <c r="F55" i="7" s="1"/>
  <c r="M29" i="7"/>
  <c r="E55" i="7" s="1"/>
  <c r="L29" i="7"/>
  <c r="D55" i="7" s="1"/>
  <c r="K29" i="7"/>
  <c r="C55" i="7" s="1"/>
  <c r="J29" i="7"/>
  <c r="F29" i="7"/>
  <c r="F48" i="7" s="1"/>
  <c r="E29" i="7"/>
  <c r="D29" i="7"/>
  <c r="C29" i="7"/>
  <c r="B29" i="7"/>
  <c r="U28" i="7"/>
  <c r="T28" i="7"/>
  <c r="S28" i="7"/>
  <c r="R28" i="7"/>
  <c r="Q28" i="7"/>
  <c r="N28" i="7"/>
  <c r="F54" i="7" s="1"/>
  <c r="M28" i="7"/>
  <c r="E54" i="7" s="1"/>
  <c r="L28" i="7"/>
  <c r="D54" i="7" s="1"/>
  <c r="K28" i="7"/>
  <c r="J28" i="7"/>
  <c r="F28" i="7"/>
  <c r="E28" i="7"/>
  <c r="D28" i="7"/>
  <c r="C28" i="7"/>
  <c r="B28" i="7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28" i="5"/>
  <c r="N29" i="5"/>
  <c r="N30" i="5"/>
  <c r="N31" i="5"/>
  <c r="N32" i="5"/>
  <c r="N33" i="5"/>
  <c r="N34" i="5"/>
  <c r="N35" i="5"/>
  <c r="N36" i="5"/>
  <c r="N37" i="5"/>
  <c r="F63" i="5" s="1"/>
  <c r="N38" i="5"/>
  <c r="F64" i="5" s="1"/>
  <c r="N39" i="5"/>
  <c r="N40" i="5"/>
  <c r="F66" i="5" s="1"/>
  <c r="N41" i="5"/>
  <c r="N42" i="5"/>
  <c r="F68" i="5" s="1"/>
  <c r="N43" i="5"/>
  <c r="F69" i="5" s="1"/>
  <c r="N44" i="5"/>
  <c r="F70" i="5" s="1"/>
  <c r="N45" i="5"/>
  <c r="F71" i="5" s="1"/>
  <c r="N46" i="5"/>
  <c r="F72" i="5" s="1"/>
  <c r="N47" i="5"/>
  <c r="F73" i="5" s="1"/>
  <c r="N28" i="5"/>
  <c r="F54" i="5" s="1"/>
  <c r="M29" i="5"/>
  <c r="M30" i="5"/>
  <c r="M31" i="5"/>
  <c r="E57" i="5" s="1"/>
  <c r="M32" i="5"/>
  <c r="E58" i="5" s="1"/>
  <c r="M33" i="5"/>
  <c r="E59" i="5" s="1"/>
  <c r="M34" i="5"/>
  <c r="E60" i="5" s="1"/>
  <c r="M35" i="5"/>
  <c r="E61" i="5" s="1"/>
  <c r="M36" i="5"/>
  <c r="E62" i="5" s="1"/>
  <c r="M37" i="5"/>
  <c r="M38" i="5"/>
  <c r="M39" i="5"/>
  <c r="M40" i="5"/>
  <c r="M41" i="5"/>
  <c r="M42" i="5"/>
  <c r="M43" i="5"/>
  <c r="E69" i="5" s="1"/>
  <c r="M44" i="5"/>
  <c r="E70" i="5" s="1"/>
  <c r="M45" i="5"/>
  <c r="E71" i="5" s="1"/>
  <c r="M46" i="5"/>
  <c r="M47" i="5"/>
  <c r="M28" i="5"/>
  <c r="L29" i="5"/>
  <c r="L30" i="5"/>
  <c r="D56" i="5" s="1"/>
  <c r="L31" i="5"/>
  <c r="D57" i="5" s="1"/>
  <c r="L32" i="5"/>
  <c r="L33" i="5"/>
  <c r="L34" i="5"/>
  <c r="D60" i="5" s="1"/>
  <c r="L35" i="5"/>
  <c r="D61" i="5" s="1"/>
  <c r="L36" i="5"/>
  <c r="D62" i="5" s="1"/>
  <c r="L37" i="5"/>
  <c r="D63" i="5" s="1"/>
  <c r="L38" i="5"/>
  <c r="L39" i="5"/>
  <c r="L40" i="5"/>
  <c r="L41" i="5"/>
  <c r="L42" i="5"/>
  <c r="D68" i="5" s="1"/>
  <c r="L43" i="5"/>
  <c r="L44" i="5"/>
  <c r="L45" i="5"/>
  <c r="D71" i="5" s="1"/>
  <c r="L46" i="5"/>
  <c r="D72" i="5" s="1"/>
  <c r="L47" i="5"/>
  <c r="D73" i="5" s="1"/>
  <c r="L28" i="5"/>
  <c r="K29" i="5"/>
  <c r="C55" i="5" s="1"/>
  <c r="C74" i="5" s="1"/>
  <c r="K30" i="5"/>
  <c r="C56" i="5" s="1"/>
  <c r="K31" i="5"/>
  <c r="K32" i="5"/>
  <c r="K33" i="5"/>
  <c r="K34" i="5"/>
  <c r="C60" i="5" s="1"/>
  <c r="K35" i="5"/>
  <c r="C61" i="5" s="1"/>
  <c r="K36" i="5"/>
  <c r="K37" i="5"/>
  <c r="K38" i="5"/>
  <c r="K39" i="5"/>
  <c r="K40" i="5"/>
  <c r="C66" i="5" s="1"/>
  <c r="K41" i="5"/>
  <c r="K42" i="5"/>
  <c r="K43" i="5"/>
  <c r="K44" i="5"/>
  <c r="C70" i="5" s="1"/>
  <c r="K45" i="5"/>
  <c r="C71" i="5" s="1"/>
  <c r="K46" i="5"/>
  <c r="C72" i="5" s="1"/>
  <c r="K47" i="5"/>
  <c r="C73" i="5" s="1"/>
  <c r="K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28" i="5"/>
  <c r="F29" i="5"/>
  <c r="F48" i="5" s="1"/>
  <c r="F30" i="5"/>
  <c r="F31" i="5"/>
  <c r="F32" i="5"/>
  <c r="F33" i="5"/>
  <c r="F34" i="5"/>
  <c r="F35" i="5"/>
  <c r="F36" i="5"/>
  <c r="F37" i="5"/>
  <c r="G37" i="5" s="1"/>
  <c r="F38" i="5"/>
  <c r="G38" i="5" s="1"/>
  <c r="F39" i="5"/>
  <c r="G39" i="5" s="1"/>
  <c r="F40" i="5"/>
  <c r="G40" i="5" s="1"/>
  <c r="F41" i="5"/>
  <c r="G41" i="5" s="1"/>
  <c r="F42" i="5"/>
  <c r="G42" i="5" s="1"/>
  <c r="F43" i="5"/>
  <c r="G43" i="5" s="1"/>
  <c r="F44" i="5"/>
  <c r="F45" i="5"/>
  <c r="F46" i="5"/>
  <c r="F47" i="5"/>
  <c r="F28" i="5"/>
  <c r="E29" i="5"/>
  <c r="E30" i="5"/>
  <c r="E31" i="5"/>
  <c r="E32" i="5"/>
  <c r="E48" i="5" s="1"/>
  <c r="E33" i="5"/>
  <c r="E34" i="5"/>
  <c r="E35" i="5"/>
  <c r="G35" i="5" s="1"/>
  <c r="E36" i="5"/>
  <c r="E37" i="5"/>
  <c r="E38" i="5"/>
  <c r="E39" i="5"/>
  <c r="E40" i="5"/>
  <c r="E41" i="5"/>
  <c r="E42" i="5"/>
  <c r="E43" i="5"/>
  <c r="E44" i="5"/>
  <c r="E45" i="5"/>
  <c r="E46" i="5"/>
  <c r="E47" i="5"/>
  <c r="E28" i="5"/>
  <c r="D29" i="5"/>
  <c r="D48" i="5" s="1"/>
  <c r="D30" i="5"/>
  <c r="G30" i="5" s="1"/>
  <c r="D31" i="5"/>
  <c r="D32" i="5"/>
  <c r="G32" i="5" s="1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28" i="5"/>
  <c r="C29" i="5"/>
  <c r="C48" i="5" s="1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G44" i="5" s="1"/>
  <c r="B45" i="5"/>
  <c r="G45" i="5" s="1"/>
  <c r="B46" i="5"/>
  <c r="G46" i="5" s="1"/>
  <c r="B47" i="5"/>
  <c r="B28" i="5"/>
  <c r="C54" i="5"/>
  <c r="D54" i="5"/>
  <c r="E54" i="5"/>
  <c r="D55" i="5"/>
  <c r="E55" i="5"/>
  <c r="F55" i="5"/>
  <c r="E56" i="5"/>
  <c r="F56" i="5"/>
  <c r="C57" i="5"/>
  <c r="F57" i="5"/>
  <c r="C58" i="5"/>
  <c r="D58" i="5"/>
  <c r="F58" i="5"/>
  <c r="C59" i="5"/>
  <c r="D59" i="5"/>
  <c r="F59" i="5"/>
  <c r="F60" i="5"/>
  <c r="F61" i="5"/>
  <c r="C62" i="5"/>
  <c r="F62" i="5"/>
  <c r="C63" i="5"/>
  <c r="E63" i="5"/>
  <c r="C64" i="5"/>
  <c r="D64" i="5"/>
  <c r="E64" i="5"/>
  <c r="C65" i="5"/>
  <c r="D65" i="5"/>
  <c r="E65" i="5"/>
  <c r="F65" i="5"/>
  <c r="D66" i="5"/>
  <c r="E66" i="5"/>
  <c r="C67" i="5"/>
  <c r="D67" i="5"/>
  <c r="E67" i="5"/>
  <c r="F67" i="5"/>
  <c r="C68" i="5"/>
  <c r="E68" i="5"/>
  <c r="C69" i="5"/>
  <c r="D69" i="5"/>
  <c r="D70" i="5"/>
  <c r="E72" i="5"/>
  <c r="E73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54" i="5"/>
  <c r="G31" i="5"/>
  <c r="G33" i="5"/>
  <c r="G34" i="5"/>
  <c r="G36" i="5"/>
  <c r="C25" i="3"/>
  <c r="D25" i="3"/>
  <c r="E25" i="3"/>
  <c r="F25" i="3"/>
  <c r="C26" i="3"/>
  <c r="D26" i="3"/>
  <c r="E26" i="3"/>
  <c r="F26" i="3"/>
  <c r="C27" i="3"/>
  <c r="D27" i="3"/>
  <c r="E27" i="3"/>
  <c r="F27" i="3"/>
  <c r="C28" i="3"/>
  <c r="D28" i="3"/>
  <c r="E28" i="3"/>
  <c r="G28" i="3" s="1"/>
  <c r="F28" i="3"/>
  <c r="C29" i="3"/>
  <c r="G29" i="3" s="1"/>
  <c r="D29" i="3"/>
  <c r="E29" i="3"/>
  <c r="F29" i="3"/>
  <c r="C30" i="3"/>
  <c r="D30" i="3"/>
  <c r="E30" i="3"/>
  <c r="F30" i="3"/>
  <c r="C31" i="3"/>
  <c r="D31" i="3"/>
  <c r="E31" i="3"/>
  <c r="F31" i="3"/>
  <c r="C32" i="3"/>
  <c r="D32" i="3"/>
  <c r="E32" i="3"/>
  <c r="F32" i="3"/>
  <c r="C33" i="3"/>
  <c r="D33" i="3"/>
  <c r="E33" i="3"/>
  <c r="F33" i="3"/>
  <c r="C34" i="3"/>
  <c r="D34" i="3"/>
  <c r="E34" i="3"/>
  <c r="F34" i="3"/>
  <c r="B26" i="3"/>
  <c r="B27" i="3"/>
  <c r="B28" i="3"/>
  <c r="B29" i="3"/>
  <c r="B30" i="3"/>
  <c r="B31" i="3"/>
  <c r="B32" i="3"/>
  <c r="B33" i="3"/>
  <c r="B34" i="3"/>
  <c r="B25" i="3"/>
  <c r="G30" i="3"/>
  <c r="G26" i="3"/>
  <c r="G31" i="3"/>
  <c r="G27" i="3"/>
  <c r="F64" i="2"/>
  <c r="F83" i="2"/>
  <c r="B83" i="2"/>
  <c r="B65" i="2"/>
  <c r="B6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34" i="2"/>
  <c r="E83" i="2"/>
  <c r="D83" i="2"/>
  <c r="C83" i="2"/>
  <c r="F82" i="2"/>
  <c r="E82" i="2"/>
  <c r="D82" i="2"/>
  <c r="C82" i="2"/>
  <c r="B82" i="2"/>
  <c r="F81" i="2"/>
  <c r="E81" i="2"/>
  <c r="D81" i="2"/>
  <c r="C81" i="2"/>
  <c r="B81" i="2"/>
  <c r="F80" i="2"/>
  <c r="E80" i="2"/>
  <c r="D80" i="2"/>
  <c r="C80" i="2"/>
  <c r="B80" i="2"/>
  <c r="F79" i="2"/>
  <c r="E79" i="2"/>
  <c r="D79" i="2"/>
  <c r="C79" i="2"/>
  <c r="B79" i="2"/>
  <c r="F78" i="2"/>
  <c r="E78" i="2"/>
  <c r="D78" i="2"/>
  <c r="C78" i="2"/>
  <c r="B78" i="2"/>
  <c r="F77" i="2"/>
  <c r="E77" i="2"/>
  <c r="D77" i="2"/>
  <c r="C77" i="2"/>
  <c r="B77" i="2"/>
  <c r="F76" i="2"/>
  <c r="E76" i="2"/>
  <c r="D76" i="2"/>
  <c r="C76" i="2"/>
  <c r="B76" i="2"/>
  <c r="F75" i="2"/>
  <c r="E75" i="2"/>
  <c r="D75" i="2"/>
  <c r="C75" i="2"/>
  <c r="B75" i="2"/>
  <c r="F74" i="2"/>
  <c r="E74" i="2"/>
  <c r="D74" i="2"/>
  <c r="C74" i="2"/>
  <c r="B74" i="2"/>
  <c r="F73" i="2"/>
  <c r="E73" i="2"/>
  <c r="D73" i="2"/>
  <c r="C73" i="2"/>
  <c r="B73" i="2"/>
  <c r="F72" i="2"/>
  <c r="E72" i="2"/>
  <c r="D72" i="2"/>
  <c r="C72" i="2"/>
  <c r="B72" i="2"/>
  <c r="F71" i="2"/>
  <c r="E71" i="2"/>
  <c r="D71" i="2"/>
  <c r="C71" i="2"/>
  <c r="B71" i="2"/>
  <c r="F70" i="2"/>
  <c r="E70" i="2"/>
  <c r="D70" i="2"/>
  <c r="C70" i="2"/>
  <c r="B70" i="2"/>
  <c r="F69" i="2"/>
  <c r="E69" i="2"/>
  <c r="D69" i="2"/>
  <c r="C69" i="2"/>
  <c r="B69" i="2"/>
  <c r="F68" i="2"/>
  <c r="E68" i="2"/>
  <c r="D68" i="2"/>
  <c r="C68" i="2"/>
  <c r="B68" i="2"/>
  <c r="F67" i="2"/>
  <c r="E67" i="2"/>
  <c r="D67" i="2"/>
  <c r="C67" i="2"/>
  <c r="B67" i="2"/>
  <c r="F66" i="2"/>
  <c r="E66" i="2"/>
  <c r="D66" i="2"/>
  <c r="C66" i="2"/>
  <c r="B66" i="2"/>
  <c r="F65" i="2"/>
  <c r="E65" i="2"/>
  <c r="D65" i="2"/>
  <c r="C65" i="2"/>
  <c r="E64" i="2"/>
  <c r="D64" i="2"/>
  <c r="C64" i="2"/>
  <c r="K34" i="2"/>
  <c r="L34" i="2"/>
  <c r="M34" i="2"/>
  <c r="N34" i="2"/>
  <c r="K35" i="2"/>
  <c r="L35" i="2"/>
  <c r="M35" i="2"/>
  <c r="N35" i="2"/>
  <c r="K36" i="2"/>
  <c r="L36" i="2"/>
  <c r="M36" i="2"/>
  <c r="N36" i="2"/>
  <c r="K37" i="2"/>
  <c r="L37" i="2"/>
  <c r="M37" i="2"/>
  <c r="N37" i="2"/>
  <c r="K38" i="2"/>
  <c r="L38" i="2"/>
  <c r="M38" i="2"/>
  <c r="N38" i="2"/>
  <c r="K39" i="2"/>
  <c r="L39" i="2"/>
  <c r="M39" i="2"/>
  <c r="N39" i="2"/>
  <c r="K40" i="2"/>
  <c r="L40" i="2"/>
  <c r="M40" i="2"/>
  <c r="N40" i="2"/>
  <c r="K41" i="2"/>
  <c r="L41" i="2"/>
  <c r="M41" i="2"/>
  <c r="N41" i="2"/>
  <c r="K42" i="2"/>
  <c r="L42" i="2"/>
  <c r="M42" i="2"/>
  <c r="N42" i="2"/>
  <c r="K43" i="2"/>
  <c r="L43" i="2"/>
  <c r="M43" i="2"/>
  <c r="N43" i="2"/>
  <c r="K44" i="2"/>
  <c r="L44" i="2"/>
  <c r="M44" i="2"/>
  <c r="N44" i="2"/>
  <c r="K45" i="2"/>
  <c r="L45" i="2"/>
  <c r="M45" i="2"/>
  <c r="N45" i="2"/>
  <c r="K46" i="2"/>
  <c r="L46" i="2"/>
  <c r="M46" i="2"/>
  <c r="N46" i="2"/>
  <c r="K47" i="2"/>
  <c r="L47" i="2"/>
  <c r="M47" i="2"/>
  <c r="N47" i="2"/>
  <c r="K48" i="2"/>
  <c r="L48" i="2"/>
  <c r="M48" i="2"/>
  <c r="N48" i="2"/>
  <c r="K49" i="2"/>
  <c r="L49" i="2"/>
  <c r="M49" i="2"/>
  <c r="N49" i="2"/>
  <c r="K50" i="2"/>
  <c r="L50" i="2"/>
  <c r="M50" i="2"/>
  <c r="N50" i="2"/>
  <c r="K51" i="2"/>
  <c r="L51" i="2"/>
  <c r="M51" i="2"/>
  <c r="N51" i="2"/>
  <c r="K52" i="2"/>
  <c r="L52" i="2"/>
  <c r="M52" i="2"/>
  <c r="N52" i="2"/>
  <c r="K53" i="2"/>
  <c r="L53" i="2"/>
  <c r="M53" i="2"/>
  <c r="N53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34" i="2"/>
  <c r="N24" i="2"/>
  <c r="J24" i="2"/>
  <c r="K24" i="2"/>
  <c r="L24" i="2"/>
  <c r="M24" i="2"/>
  <c r="G24" i="2"/>
  <c r="F24" i="2"/>
  <c r="E24" i="2"/>
  <c r="D24" i="2"/>
  <c r="C24" i="2"/>
  <c r="B24" i="2"/>
  <c r="O23" i="2"/>
  <c r="G23" i="2"/>
  <c r="O22" i="2"/>
  <c r="G22" i="2"/>
  <c r="O21" i="2"/>
  <c r="G21" i="2"/>
  <c r="O20" i="2"/>
  <c r="G20" i="2"/>
  <c r="O19" i="2"/>
  <c r="G19" i="2"/>
  <c r="O18" i="2"/>
  <c r="G18" i="2"/>
  <c r="O17" i="2"/>
  <c r="G17" i="2"/>
  <c r="O16" i="2"/>
  <c r="G16" i="2"/>
  <c r="O15" i="2"/>
  <c r="G15" i="2"/>
  <c r="O14" i="2"/>
  <c r="G14" i="2"/>
  <c r="O13" i="2"/>
  <c r="G13" i="2"/>
  <c r="O12" i="2"/>
  <c r="G12" i="2"/>
  <c r="O11" i="2"/>
  <c r="G11" i="2"/>
  <c r="O10" i="2"/>
  <c r="G10" i="2"/>
  <c r="O9" i="2"/>
  <c r="G9" i="2"/>
  <c r="O8" i="2"/>
  <c r="G8" i="2"/>
  <c r="O7" i="2"/>
  <c r="G7" i="2"/>
  <c r="O6" i="2"/>
  <c r="G6" i="2"/>
  <c r="O5" i="2"/>
  <c r="G5" i="2"/>
  <c r="O4" i="2"/>
  <c r="G4" i="2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4" i="1"/>
  <c r="G5" i="1"/>
  <c r="G6" i="1"/>
  <c r="G7" i="1"/>
  <c r="G8" i="1"/>
  <c r="G8" i="4" l="1"/>
  <c r="H8" i="4" s="1"/>
  <c r="G9" i="4"/>
  <c r="H9" i="4" s="1"/>
  <c r="O24" i="1"/>
  <c r="G50" i="1"/>
  <c r="F74" i="8"/>
  <c r="G61" i="8"/>
  <c r="E48" i="8"/>
  <c r="E74" i="8"/>
  <c r="G29" i="8"/>
  <c r="G56" i="8"/>
  <c r="G60" i="8"/>
  <c r="G37" i="8"/>
  <c r="G64" i="8"/>
  <c r="G68" i="8"/>
  <c r="G45" i="8"/>
  <c r="G72" i="8"/>
  <c r="G32" i="8"/>
  <c r="G40" i="8"/>
  <c r="G67" i="8"/>
  <c r="G44" i="8"/>
  <c r="G71" i="8"/>
  <c r="G55" i="8"/>
  <c r="G59" i="8"/>
  <c r="G65" i="8"/>
  <c r="G38" i="8"/>
  <c r="G46" i="8"/>
  <c r="G69" i="8"/>
  <c r="G33" i="8"/>
  <c r="G41" i="8"/>
  <c r="B48" i="8"/>
  <c r="G63" i="8"/>
  <c r="G28" i="8"/>
  <c r="G36" i="8"/>
  <c r="G31" i="8"/>
  <c r="G43" i="8"/>
  <c r="G73" i="8"/>
  <c r="G57" i="7"/>
  <c r="G30" i="7"/>
  <c r="G34" i="7"/>
  <c r="G61" i="7"/>
  <c r="G42" i="7"/>
  <c r="G69" i="7"/>
  <c r="G46" i="7"/>
  <c r="G71" i="7"/>
  <c r="C74" i="7"/>
  <c r="G55" i="7"/>
  <c r="G63" i="7"/>
  <c r="G29" i="7"/>
  <c r="G56" i="7"/>
  <c r="G60" i="7"/>
  <c r="G37" i="7"/>
  <c r="G64" i="7"/>
  <c r="G41" i="7"/>
  <c r="G68" i="7"/>
  <c r="G45" i="7"/>
  <c r="G72" i="7"/>
  <c r="G33" i="7"/>
  <c r="G73" i="7"/>
  <c r="G38" i="7"/>
  <c r="G54" i="8"/>
  <c r="G58" i="8"/>
  <c r="G62" i="8"/>
  <c r="G66" i="8"/>
  <c r="G70" i="8"/>
  <c r="C74" i="8"/>
  <c r="D74" i="8"/>
  <c r="F48" i="8"/>
  <c r="B74" i="8"/>
  <c r="G74" i="8" s="1"/>
  <c r="G28" i="7"/>
  <c r="D74" i="7"/>
  <c r="E74" i="7"/>
  <c r="G54" i="7"/>
  <c r="B48" i="7"/>
  <c r="C48" i="7"/>
  <c r="D48" i="7"/>
  <c r="E48" i="7"/>
  <c r="G58" i="7"/>
  <c r="F74" i="7"/>
  <c r="B74" i="7"/>
  <c r="G65" i="7"/>
  <c r="F74" i="5"/>
  <c r="E74" i="5"/>
  <c r="G64" i="5"/>
  <c r="G63" i="5"/>
  <c r="G62" i="5"/>
  <c r="D74" i="5"/>
  <c r="G71" i="5"/>
  <c r="G70" i="5"/>
  <c r="G66" i="5"/>
  <c r="G72" i="5"/>
  <c r="G58" i="5"/>
  <c r="G61" i="5"/>
  <c r="G69" i="5"/>
  <c r="G59" i="5"/>
  <c r="G28" i="5"/>
  <c r="G29" i="5"/>
  <c r="G47" i="5"/>
  <c r="B48" i="5"/>
  <c r="G48" i="5" s="1"/>
  <c r="G65" i="5"/>
  <c r="G67" i="5"/>
  <c r="G68" i="5"/>
  <c r="G60" i="5"/>
  <c r="G73" i="5"/>
  <c r="G57" i="5"/>
  <c r="G56" i="5"/>
  <c r="G55" i="5"/>
  <c r="B74" i="5"/>
  <c r="G54" i="5"/>
  <c r="G33" i="3"/>
  <c r="G32" i="3"/>
  <c r="G34" i="3"/>
  <c r="G25" i="3"/>
  <c r="G35" i="3"/>
  <c r="G54" i="2"/>
  <c r="O24" i="2"/>
  <c r="G48" i="8" l="1"/>
  <c r="G74" i="7"/>
  <c r="G48" i="7"/>
  <c r="G74" i="5"/>
</calcChain>
</file>

<file path=xl/sharedStrings.xml><?xml version="1.0" encoding="utf-8"?>
<sst xmlns="http://schemas.openxmlformats.org/spreadsheetml/2006/main" count="282" uniqueCount="54">
  <si>
    <t>ARP detection</t>
  </si>
  <si>
    <t>test 1</t>
  </si>
  <si>
    <t>test 2</t>
  </si>
  <si>
    <t>test 3</t>
  </si>
  <si>
    <t>test 4</t>
  </si>
  <si>
    <t>test 5</t>
  </si>
  <si>
    <t>totaal</t>
  </si>
  <si>
    <t>Speed</t>
  </si>
  <si>
    <t>accurasy</t>
  </si>
  <si>
    <t>Staat in nano seconde</t>
  </si>
  <si>
    <t>1 = well gedetecteerd</t>
  </si>
  <si>
    <t>0 = niks gedetecteerd</t>
  </si>
  <si>
    <t>gemiddelden</t>
  </si>
  <si>
    <t>laytency detection</t>
  </si>
  <si>
    <t>laytency drempel</t>
  </si>
  <si>
    <t>staat in milliseconde</t>
  </si>
  <si>
    <t>False postives</t>
  </si>
  <si>
    <t>laytency no MITM</t>
  </si>
  <si>
    <t>laytency MITM</t>
  </si>
  <si>
    <t>falses positives</t>
  </si>
  <si>
    <t>speed: begin</t>
  </si>
  <si>
    <t>speed: end</t>
  </si>
  <si>
    <t>false positives</t>
  </si>
  <si>
    <t>snelheid in nano seconde</t>
  </si>
  <si>
    <t>effectiviteit</t>
  </si>
  <si>
    <t>max speed</t>
  </si>
  <si>
    <t>ARP</t>
  </si>
  <si>
    <t>Laytency</t>
  </si>
  <si>
    <t>ARP watch</t>
  </si>
  <si>
    <t>false positves</t>
  </si>
  <si>
    <t>weight</t>
  </si>
  <si>
    <t>MITM,HTTP_packets,TLS_packets</t>
  </si>
  <si>
    <t>Test 1</t>
  </si>
  <si>
    <t>MITM detcted</t>
  </si>
  <si>
    <t>MITM</t>
  </si>
  <si>
    <t>HTTP_packets</t>
  </si>
  <si>
    <t>TLS_packets</t>
  </si>
  <si>
    <t>Can be modified</t>
  </si>
  <si>
    <t>HTTP packets</t>
  </si>
  <si>
    <t>TLS packets</t>
  </si>
  <si>
    <t>min speed</t>
  </si>
  <si>
    <t>speed</t>
  </si>
  <si>
    <t>accuracy</t>
  </si>
  <si>
    <t>norm</t>
  </si>
  <si>
    <t>score</t>
  </si>
  <si>
    <t>0 = slecht</t>
  </si>
  <si>
    <t>1 = optimaal</t>
  </si>
  <si>
    <t>procent score</t>
  </si>
  <si>
    <t>Impact</t>
  </si>
  <si>
    <t>can be modified</t>
  </si>
  <si>
    <t>MITM started</t>
  </si>
  <si>
    <t>HTTPS</t>
  </si>
  <si>
    <t>Static ARP Entrys</t>
  </si>
  <si>
    <t>VLANs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</si>
</sst>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4" fillId="0" borderId="6" xfId="0" applyFon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9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3" fontId="0" fillId="0" borderId="1" xfId="0" applyNumberFormat="1" applyBorder="1"/>
    <xf numFmtId="3" fontId="0" fillId="0" borderId="4" xfId="0" applyNumberFormat="1" applyBorder="1"/>
    <xf numFmtId="3" fontId="0" fillId="0" borderId="15" xfId="0" applyNumberFormat="1" applyBorder="1"/>
    <xf numFmtId="3" fontId="0" fillId="0" borderId="2" xfId="0" applyNumberFormat="1" applyBorder="1"/>
    <xf numFmtId="3" fontId="0" fillId="0" borderId="0" xfId="0" applyNumberFormat="1"/>
    <xf numFmtId="3" fontId="0" fillId="0" borderId="16" xfId="0" applyNumberFormat="1" applyBorder="1"/>
    <xf numFmtId="3" fontId="0" fillId="0" borderId="3" xfId="0" applyNumberFormat="1" applyBorder="1"/>
    <xf numFmtId="3" fontId="0" fillId="0" borderId="5" xfId="0" applyNumberFormat="1" applyBorder="1"/>
    <xf numFmtId="3" fontId="0" fillId="0" borderId="17" xfId="0" applyNumberFormat="1" applyBorder="1"/>
    <xf numFmtId="3" fontId="0" fillId="0" borderId="19" xfId="0" applyNumberFormat="1" applyBorder="1"/>
    <xf numFmtId="3" fontId="0" fillId="0" borderId="10" xfId="0" applyNumberFormat="1" applyBorder="1"/>
    <xf numFmtId="3" fontId="0" fillId="0" borderId="14" xfId="0" applyNumberFormat="1" applyBorder="1"/>
    <xf numFmtId="3" fontId="0" fillId="0" borderId="12" xfId="0" applyNumberFormat="1" applyBorder="1"/>
    <xf numFmtId="3" fontId="0" fillId="0" borderId="13" xfId="0" applyNumberFormat="1" applyBorder="1"/>
    <xf numFmtId="0" fontId="0" fillId="0" borderId="25" xfId="0" applyBorder="1"/>
    <xf numFmtId="0" fontId="0" fillId="0" borderId="26" xfId="0" applyBorder="1"/>
    <xf numFmtId="0" fontId="0" fillId="0" borderId="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3" fontId="0" fillId="0" borderId="40" xfId="0" applyNumberFormat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A3463-D3C9-4AD6-B22F-095DC21F5736}">
  <dimension ref="A1:O50"/>
  <sheetViews>
    <sheetView zoomScaleNormal="100" workbookViewId="0">
      <selection activeCell="I26" sqref="I26"/>
    </sheetView>
  </sheetViews>
  <sheetFormatPr defaultRowHeight="15" x14ac:dyDescent="0.25"/>
  <cols>
    <col min="1" max="1" width="18.85546875" customWidth="1"/>
    <col min="2" max="7" width="14.28515625" customWidth="1"/>
    <col min="9" max="15" width="14.28515625" customWidth="1"/>
  </cols>
  <sheetData>
    <row r="1" spans="1:15" ht="36" x14ac:dyDescent="0.55000000000000004">
      <c r="B1" s="1" t="s">
        <v>0</v>
      </c>
      <c r="I1" t="s">
        <v>11</v>
      </c>
    </row>
    <row r="2" spans="1:15" ht="27" thickBot="1" x14ac:dyDescent="0.45">
      <c r="A2" t="s">
        <v>9</v>
      </c>
      <c r="B2" s="2"/>
      <c r="I2" t="s">
        <v>10</v>
      </c>
    </row>
    <row r="3" spans="1:15" ht="21" x14ac:dyDescent="0.35">
      <c r="A3" s="15" t="s">
        <v>7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9" t="s">
        <v>12</v>
      </c>
      <c r="I3" s="15" t="s">
        <v>8</v>
      </c>
      <c r="J3" s="8" t="s">
        <v>1</v>
      </c>
      <c r="K3" s="8" t="s">
        <v>2</v>
      </c>
      <c r="L3" s="8" t="s">
        <v>3</v>
      </c>
      <c r="M3" s="8" t="s">
        <v>4</v>
      </c>
      <c r="N3" s="8" t="s">
        <v>5</v>
      </c>
      <c r="O3" s="9" t="s">
        <v>6</v>
      </c>
    </row>
    <row r="4" spans="1:15" x14ac:dyDescent="0.25">
      <c r="A4" s="10">
        <v>1</v>
      </c>
      <c r="B4" s="3">
        <v>2019238100</v>
      </c>
      <c r="C4" s="4">
        <v>2014258400</v>
      </c>
      <c r="D4" s="4">
        <v>2019185600</v>
      </c>
      <c r="E4" s="4">
        <v>2022443600</v>
      </c>
      <c r="F4" s="5">
        <v>2023907600</v>
      </c>
      <c r="G4" s="20">
        <f t="shared" ref="G4:G7" si="0">SUM(B4:F4)/5</f>
        <v>2019806660</v>
      </c>
      <c r="I4" s="10">
        <v>1</v>
      </c>
      <c r="J4" s="3">
        <v>1</v>
      </c>
      <c r="K4" s="4">
        <v>1</v>
      </c>
      <c r="L4" s="4">
        <v>1</v>
      </c>
      <c r="M4" s="4">
        <v>1</v>
      </c>
      <c r="N4" s="5">
        <v>1</v>
      </c>
      <c r="O4" s="11">
        <f>(SUM(J4:N4)/5)</f>
        <v>1</v>
      </c>
    </row>
    <row r="5" spans="1:15" x14ac:dyDescent="0.25">
      <c r="A5" s="10">
        <v>2</v>
      </c>
      <c r="B5" s="6">
        <v>2024238800</v>
      </c>
      <c r="C5">
        <v>2014016200</v>
      </c>
      <c r="D5">
        <v>2013852400</v>
      </c>
      <c r="E5">
        <v>2023007600</v>
      </c>
      <c r="F5" s="7">
        <v>2024759100</v>
      </c>
      <c r="G5" s="11">
        <f t="shared" si="0"/>
        <v>2019974820</v>
      </c>
      <c r="I5" s="10">
        <v>2</v>
      </c>
      <c r="J5" s="6">
        <v>1</v>
      </c>
      <c r="K5">
        <v>1</v>
      </c>
      <c r="L5">
        <v>1</v>
      </c>
      <c r="M5">
        <v>1</v>
      </c>
      <c r="N5" s="7">
        <v>1</v>
      </c>
      <c r="O5" s="11">
        <f t="shared" ref="O5:O23" si="1">(SUM(J5:N5)/5)</f>
        <v>1</v>
      </c>
    </row>
    <row r="6" spans="1:15" x14ac:dyDescent="0.25">
      <c r="A6" s="10">
        <v>3</v>
      </c>
      <c r="B6" s="6">
        <v>2016422600</v>
      </c>
      <c r="C6">
        <v>2021191900</v>
      </c>
      <c r="D6">
        <v>2011810500</v>
      </c>
      <c r="E6">
        <v>2016257900</v>
      </c>
      <c r="F6" s="7">
        <v>2009458700</v>
      </c>
      <c r="G6" s="11">
        <f t="shared" si="0"/>
        <v>2015028320</v>
      </c>
      <c r="I6" s="10">
        <v>3</v>
      </c>
      <c r="J6" s="6">
        <v>1</v>
      </c>
      <c r="K6">
        <v>1</v>
      </c>
      <c r="L6">
        <v>1</v>
      </c>
      <c r="M6">
        <v>1</v>
      </c>
      <c r="N6" s="7">
        <v>1</v>
      </c>
      <c r="O6" s="11">
        <f t="shared" si="1"/>
        <v>1</v>
      </c>
    </row>
    <row r="7" spans="1:15" x14ac:dyDescent="0.25">
      <c r="A7" s="10">
        <v>4</v>
      </c>
      <c r="B7" s="6">
        <v>2020148700</v>
      </c>
      <c r="C7">
        <v>2020677700</v>
      </c>
      <c r="D7">
        <v>2009700600</v>
      </c>
      <c r="E7">
        <v>2016247700</v>
      </c>
      <c r="F7" s="7">
        <v>2014563900</v>
      </c>
      <c r="G7" s="11">
        <f t="shared" si="0"/>
        <v>2016267720</v>
      </c>
      <c r="I7" s="10">
        <v>4</v>
      </c>
      <c r="J7" s="6">
        <v>1</v>
      </c>
      <c r="K7">
        <v>1</v>
      </c>
      <c r="L7">
        <v>1</v>
      </c>
      <c r="M7">
        <v>1</v>
      </c>
      <c r="N7" s="7">
        <v>1</v>
      </c>
      <c r="O7" s="11">
        <f t="shared" si="1"/>
        <v>1</v>
      </c>
    </row>
    <row r="8" spans="1:15" x14ac:dyDescent="0.25">
      <c r="A8" s="10">
        <v>5</v>
      </c>
      <c r="B8" s="6">
        <v>2063769400</v>
      </c>
      <c r="C8">
        <v>2019699000</v>
      </c>
      <c r="D8">
        <v>2017097400</v>
      </c>
      <c r="E8">
        <v>2018330600</v>
      </c>
      <c r="F8" s="7">
        <v>2015523500</v>
      </c>
      <c r="G8" s="11">
        <f>SUM(B8:F8)/5</f>
        <v>2026883980</v>
      </c>
      <c r="I8" s="10">
        <v>5</v>
      </c>
      <c r="J8" s="6">
        <v>1</v>
      </c>
      <c r="K8">
        <v>1</v>
      </c>
      <c r="L8">
        <v>1</v>
      </c>
      <c r="M8">
        <v>1</v>
      </c>
      <c r="N8" s="7">
        <v>1</v>
      </c>
      <c r="O8" s="11">
        <f t="shared" si="1"/>
        <v>1</v>
      </c>
    </row>
    <row r="9" spans="1:15" x14ac:dyDescent="0.25">
      <c r="A9" s="10">
        <v>6</v>
      </c>
      <c r="B9" s="6">
        <v>2014696000</v>
      </c>
      <c r="C9">
        <v>2020294700</v>
      </c>
      <c r="D9">
        <v>2017165200</v>
      </c>
      <c r="E9">
        <v>2025098400</v>
      </c>
      <c r="F9" s="7">
        <v>2011880100</v>
      </c>
      <c r="G9" s="11">
        <f t="shared" ref="G9:G23" si="2">SUM(B9:F9)/5</f>
        <v>2017826880</v>
      </c>
      <c r="I9" s="10">
        <v>6</v>
      </c>
      <c r="J9" s="6">
        <v>1</v>
      </c>
      <c r="K9">
        <v>1</v>
      </c>
      <c r="L9">
        <v>1</v>
      </c>
      <c r="M9">
        <v>1</v>
      </c>
      <c r="N9" s="7">
        <v>1</v>
      </c>
      <c r="O9" s="11">
        <f t="shared" si="1"/>
        <v>1</v>
      </c>
    </row>
    <row r="10" spans="1:15" x14ac:dyDescent="0.25">
      <c r="A10" s="10">
        <v>7</v>
      </c>
      <c r="B10" s="6">
        <v>2016141500</v>
      </c>
      <c r="C10">
        <v>2014870200</v>
      </c>
      <c r="D10">
        <v>2022187000</v>
      </c>
      <c r="E10">
        <v>2014510300</v>
      </c>
      <c r="F10" s="7">
        <v>2026670100</v>
      </c>
      <c r="G10" s="11">
        <f t="shared" si="2"/>
        <v>2018875820</v>
      </c>
      <c r="I10" s="10">
        <v>7</v>
      </c>
      <c r="J10" s="6">
        <v>1</v>
      </c>
      <c r="K10">
        <v>1</v>
      </c>
      <c r="L10">
        <v>1</v>
      </c>
      <c r="M10">
        <v>1</v>
      </c>
      <c r="N10" s="7">
        <v>1</v>
      </c>
      <c r="O10" s="11">
        <f t="shared" si="1"/>
        <v>1</v>
      </c>
    </row>
    <row r="11" spans="1:15" x14ac:dyDescent="0.25">
      <c r="A11" s="10">
        <v>8</v>
      </c>
      <c r="B11" s="6">
        <v>2013453400</v>
      </c>
      <c r="C11">
        <v>2016646700</v>
      </c>
      <c r="D11">
        <v>2015751600</v>
      </c>
      <c r="E11">
        <v>2010021100</v>
      </c>
      <c r="F11" s="7">
        <v>2023848200</v>
      </c>
      <c r="G11" s="11">
        <f t="shared" si="2"/>
        <v>2015944200</v>
      </c>
      <c r="I11" s="10">
        <v>8</v>
      </c>
      <c r="J11" s="6">
        <v>1</v>
      </c>
      <c r="K11">
        <v>1</v>
      </c>
      <c r="L11">
        <v>1</v>
      </c>
      <c r="M11">
        <v>1</v>
      </c>
      <c r="N11" s="7">
        <v>1</v>
      </c>
      <c r="O11" s="11">
        <f t="shared" si="1"/>
        <v>1</v>
      </c>
    </row>
    <row r="12" spans="1:15" x14ac:dyDescent="0.25">
      <c r="A12" s="10">
        <v>9</v>
      </c>
      <c r="B12" s="6">
        <v>2014569600</v>
      </c>
      <c r="C12">
        <v>2009278400</v>
      </c>
      <c r="D12">
        <v>2012270500</v>
      </c>
      <c r="E12">
        <v>2011688900</v>
      </c>
      <c r="F12" s="7">
        <v>2023596100</v>
      </c>
      <c r="G12" s="11">
        <f t="shared" si="2"/>
        <v>2014280700</v>
      </c>
      <c r="I12" s="10">
        <v>9</v>
      </c>
      <c r="J12" s="6">
        <v>1</v>
      </c>
      <c r="K12">
        <v>1</v>
      </c>
      <c r="L12">
        <v>1</v>
      </c>
      <c r="M12">
        <v>1</v>
      </c>
      <c r="N12" s="7">
        <v>1</v>
      </c>
      <c r="O12" s="11">
        <f t="shared" si="1"/>
        <v>1</v>
      </c>
    </row>
    <row r="13" spans="1:15" x14ac:dyDescent="0.25">
      <c r="A13" s="10">
        <v>10</v>
      </c>
      <c r="B13" s="6">
        <v>2072294100</v>
      </c>
      <c r="C13">
        <v>2006647700</v>
      </c>
      <c r="D13">
        <v>2019438500</v>
      </c>
      <c r="E13">
        <v>2018237400</v>
      </c>
      <c r="F13" s="7">
        <v>2012863400</v>
      </c>
      <c r="G13" s="11">
        <f t="shared" si="2"/>
        <v>2025896220</v>
      </c>
      <c r="I13" s="10">
        <v>10</v>
      </c>
      <c r="J13" s="6">
        <v>1</v>
      </c>
      <c r="K13">
        <v>1</v>
      </c>
      <c r="L13">
        <v>1</v>
      </c>
      <c r="M13">
        <v>1</v>
      </c>
      <c r="N13" s="7">
        <v>1</v>
      </c>
      <c r="O13" s="11">
        <f t="shared" si="1"/>
        <v>1</v>
      </c>
    </row>
    <row r="14" spans="1:15" x14ac:dyDescent="0.25">
      <c r="A14" s="10">
        <v>11</v>
      </c>
      <c r="B14" s="6">
        <v>2012596600</v>
      </c>
      <c r="C14">
        <v>2023249700</v>
      </c>
      <c r="D14">
        <v>2018118700</v>
      </c>
      <c r="E14">
        <v>2009505800</v>
      </c>
      <c r="F14" s="7">
        <v>2020835200</v>
      </c>
      <c r="G14" s="11">
        <f t="shared" si="2"/>
        <v>2016861200</v>
      </c>
      <c r="I14" s="10">
        <v>11</v>
      </c>
      <c r="J14" s="6">
        <v>1</v>
      </c>
      <c r="K14">
        <v>1</v>
      </c>
      <c r="L14">
        <v>1</v>
      </c>
      <c r="M14">
        <v>1</v>
      </c>
      <c r="N14" s="7">
        <v>1</v>
      </c>
      <c r="O14" s="11">
        <f t="shared" si="1"/>
        <v>1</v>
      </c>
    </row>
    <row r="15" spans="1:15" x14ac:dyDescent="0.25">
      <c r="A15" s="10">
        <v>12</v>
      </c>
      <c r="B15" s="6">
        <v>2015221500</v>
      </c>
      <c r="C15">
        <v>2011143600</v>
      </c>
      <c r="D15">
        <v>2011675900</v>
      </c>
      <c r="E15">
        <v>2018169600</v>
      </c>
      <c r="F15" s="7">
        <v>2024272200</v>
      </c>
      <c r="G15" s="11">
        <f t="shared" si="2"/>
        <v>2016096560</v>
      </c>
      <c r="I15" s="10">
        <v>12</v>
      </c>
      <c r="J15" s="6">
        <v>1</v>
      </c>
      <c r="K15">
        <v>1</v>
      </c>
      <c r="L15">
        <v>1</v>
      </c>
      <c r="M15">
        <v>1</v>
      </c>
      <c r="N15" s="7">
        <v>1</v>
      </c>
      <c r="O15" s="11">
        <f t="shared" si="1"/>
        <v>1</v>
      </c>
    </row>
    <row r="16" spans="1:15" x14ac:dyDescent="0.25">
      <c r="A16" s="10">
        <v>13</v>
      </c>
      <c r="B16" s="6">
        <v>2009252100</v>
      </c>
      <c r="C16">
        <v>2012597400</v>
      </c>
      <c r="D16">
        <v>2019356900</v>
      </c>
      <c r="E16">
        <v>2006173800</v>
      </c>
      <c r="F16" s="7">
        <v>2026159600</v>
      </c>
      <c r="G16" s="11">
        <f t="shared" si="2"/>
        <v>2014707960</v>
      </c>
      <c r="I16" s="10">
        <v>13</v>
      </c>
      <c r="J16" s="6">
        <v>1</v>
      </c>
      <c r="K16">
        <v>1</v>
      </c>
      <c r="L16">
        <v>1</v>
      </c>
      <c r="M16">
        <v>1</v>
      </c>
      <c r="N16" s="7">
        <v>1</v>
      </c>
      <c r="O16" s="11">
        <f t="shared" si="1"/>
        <v>1</v>
      </c>
    </row>
    <row r="17" spans="1:15" x14ac:dyDescent="0.25">
      <c r="A17" s="10">
        <v>14</v>
      </c>
      <c r="B17" s="6">
        <v>2012265900</v>
      </c>
      <c r="C17">
        <v>2017512300</v>
      </c>
      <c r="D17">
        <v>2016738200</v>
      </c>
      <c r="E17">
        <v>2018181100</v>
      </c>
      <c r="F17" s="7">
        <v>2003954600</v>
      </c>
      <c r="G17" s="11">
        <f t="shared" si="2"/>
        <v>2013730420</v>
      </c>
      <c r="I17" s="10">
        <v>14</v>
      </c>
      <c r="J17" s="6">
        <v>1</v>
      </c>
      <c r="K17">
        <v>1</v>
      </c>
      <c r="L17">
        <v>1</v>
      </c>
      <c r="M17">
        <v>1</v>
      </c>
      <c r="N17" s="7">
        <v>1</v>
      </c>
      <c r="O17" s="11">
        <f t="shared" si="1"/>
        <v>1</v>
      </c>
    </row>
    <row r="18" spans="1:15" x14ac:dyDescent="0.25">
      <c r="A18" s="10">
        <v>15</v>
      </c>
      <c r="B18" s="6">
        <v>2011259700</v>
      </c>
      <c r="C18">
        <v>2003781000</v>
      </c>
      <c r="D18">
        <v>2006430100</v>
      </c>
      <c r="E18">
        <v>2019870400</v>
      </c>
      <c r="F18" s="7">
        <v>2009360000</v>
      </c>
      <c r="G18" s="11">
        <f t="shared" si="2"/>
        <v>2010140240</v>
      </c>
      <c r="I18" s="10">
        <v>15</v>
      </c>
      <c r="J18" s="6">
        <v>1</v>
      </c>
      <c r="K18">
        <v>1</v>
      </c>
      <c r="L18">
        <v>1</v>
      </c>
      <c r="M18">
        <v>1</v>
      </c>
      <c r="N18" s="7">
        <v>1</v>
      </c>
      <c r="O18" s="11">
        <f t="shared" si="1"/>
        <v>1</v>
      </c>
    </row>
    <row r="19" spans="1:15" x14ac:dyDescent="0.25">
      <c r="A19" s="10">
        <v>16</v>
      </c>
      <c r="B19" s="6">
        <v>2014876400</v>
      </c>
      <c r="C19">
        <v>2010326100</v>
      </c>
      <c r="D19">
        <v>2015337700</v>
      </c>
      <c r="E19">
        <v>2004720800</v>
      </c>
      <c r="F19" s="7">
        <v>2007928600</v>
      </c>
      <c r="G19" s="11">
        <f t="shared" si="2"/>
        <v>2010637920</v>
      </c>
      <c r="I19" s="10">
        <v>16</v>
      </c>
      <c r="J19" s="6">
        <v>1</v>
      </c>
      <c r="K19">
        <v>1</v>
      </c>
      <c r="L19">
        <v>1</v>
      </c>
      <c r="M19">
        <v>1</v>
      </c>
      <c r="N19" s="7">
        <v>1</v>
      </c>
      <c r="O19" s="11">
        <f t="shared" si="1"/>
        <v>1</v>
      </c>
    </row>
    <row r="20" spans="1:15" x14ac:dyDescent="0.25">
      <c r="A20" s="10">
        <v>17</v>
      </c>
      <c r="B20" s="6">
        <v>2008446700</v>
      </c>
      <c r="C20">
        <v>2015048500</v>
      </c>
      <c r="D20">
        <v>2162840600</v>
      </c>
      <c r="E20">
        <v>2018137600</v>
      </c>
      <c r="F20" s="7">
        <v>2015357100</v>
      </c>
      <c r="G20" s="11">
        <f t="shared" si="2"/>
        <v>2043966100</v>
      </c>
      <c r="I20" s="10">
        <v>17</v>
      </c>
      <c r="J20" s="6">
        <v>1</v>
      </c>
      <c r="K20">
        <v>1</v>
      </c>
      <c r="L20">
        <v>1</v>
      </c>
      <c r="M20">
        <v>1</v>
      </c>
      <c r="N20" s="7">
        <v>1</v>
      </c>
      <c r="O20" s="11">
        <f t="shared" si="1"/>
        <v>1</v>
      </c>
    </row>
    <row r="21" spans="1:15" x14ac:dyDescent="0.25">
      <c r="A21" s="10">
        <v>18</v>
      </c>
      <c r="B21" s="6">
        <v>2013258300</v>
      </c>
      <c r="C21">
        <v>2004131900</v>
      </c>
      <c r="D21">
        <v>2015762300</v>
      </c>
      <c r="E21">
        <v>2011644700</v>
      </c>
      <c r="F21" s="7">
        <v>2017442700</v>
      </c>
      <c r="G21" s="11">
        <f t="shared" si="2"/>
        <v>2012447980</v>
      </c>
      <c r="I21" s="10">
        <v>18</v>
      </c>
      <c r="J21" s="6">
        <v>1</v>
      </c>
      <c r="K21">
        <v>1</v>
      </c>
      <c r="L21">
        <v>1</v>
      </c>
      <c r="M21">
        <v>1</v>
      </c>
      <c r="N21" s="7">
        <v>1</v>
      </c>
      <c r="O21" s="11">
        <f t="shared" si="1"/>
        <v>1</v>
      </c>
    </row>
    <row r="22" spans="1:15" x14ac:dyDescent="0.25">
      <c r="A22" s="10">
        <v>19</v>
      </c>
      <c r="B22" s="6">
        <v>2009992200</v>
      </c>
      <c r="C22">
        <v>2006465000</v>
      </c>
      <c r="D22">
        <v>2015360100</v>
      </c>
      <c r="E22">
        <v>2008699400</v>
      </c>
      <c r="F22" s="7">
        <v>2025942200</v>
      </c>
      <c r="G22" s="11">
        <f t="shared" si="2"/>
        <v>2013291780</v>
      </c>
      <c r="I22" s="10">
        <v>19</v>
      </c>
      <c r="J22" s="6">
        <v>1</v>
      </c>
      <c r="K22">
        <v>1</v>
      </c>
      <c r="L22">
        <v>1</v>
      </c>
      <c r="M22">
        <v>1</v>
      </c>
      <c r="N22" s="7">
        <v>1</v>
      </c>
      <c r="O22" s="11">
        <f t="shared" si="1"/>
        <v>1</v>
      </c>
    </row>
    <row r="23" spans="1:15" ht="15.75" thickBot="1" x14ac:dyDescent="0.3">
      <c r="A23" s="10">
        <v>20</v>
      </c>
      <c r="B23" s="17">
        <v>2004195100</v>
      </c>
      <c r="C23" s="18">
        <v>2006429200</v>
      </c>
      <c r="D23" s="18">
        <v>2017566500</v>
      </c>
      <c r="E23" s="18">
        <v>2015592300</v>
      </c>
      <c r="F23" s="19">
        <v>2023962500</v>
      </c>
      <c r="G23" s="11">
        <f t="shared" si="2"/>
        <v>2013549120</v>
      </c>
      <c r="I23" s="10">
        <v>20</v>
      </c>
      <c r="J23" s="17">
        <v>1</v>
      </c>
      <c r="K23" s="18">
        <v>1</v>
      </c>
      <c r="L23" s="18">
        <v>1</v>
      </c>
      <c r="M23" s="18">
        <v>1</v>
      </c>
      <c r="N23" s="19">
        <v>1</v>
      </c>
      <c r="O23" s="11">
        <f t="shared" si="1"/>
        <v>1</v>
      </c>
    </row>
    <row r="24" spans="1:15" ht="15.75" thickBot="1" x14ac:dyDescent="0.3">
      <c r="A24" s="12" t="s">
        <v>12</v>
      </c>
      <c r="B24" s="16">
        <f>MEDIAN(B4:B23)</f>
        <v>2014632800</v>
      </c>
      <c r="C24" s="16">
        <f t="shared" ref="C24:F24" si="3">MEDIAN(C4:C23)</f>
        <v>2014137300</v>
      </c>
      <c r="D24" s="16">
        <f t="shared" si="3"/>
        <v>2016250250</v>
      </c>
      <c r="E24" s="16">
        <f t="shared" si="3"/>
        <v>2016252800</v>
      </c>
      <c r="F24" s="16">
        <f t="shared" si="3"/>
        <v>2019138950</v>
      </c>
      <c r="G24" s="21">
        <f>SUM(B24:F24)/5</f>
        <v>2016082420</v>
      </c>
      <c r="I24" s="12" t="s">
        <v>6</v>
      </c>
      <c r="J24" s="13">
        <f>AVERAGE(J4:J23)</f>
        <v>1</v>
      </c>
      <c r="K24" s="13">
        <f t="shared" ref="K24:N24" si="4">AVERAGE(K4:K23)</f>
        <v>1</v>
      </c>
      <c r="L24" s="13">
        <f t="shared" si="4"/>
        <v>1</v>
      </c>
      <c r="M24" s="13">
        <f t="shared" si="4"/>
        <v>1</v>
      </c>
      <c r="N24" s="13">
        <f t="shared" si="4"/>
        <v>1</v>
      </c>
      <c r="O24" s="14">
        <f>SUM(J24:N24)/5</f>
        <v>1</v>
      </c>
    </row>
    <row r="27" spans="1:15" x14ac:dyDescent="0.25">
      <c r="A27" t="s">
        <v>11</v>
      </c>
    </row>
    <row r="28" spans="1:15" ht="15.75" thickBot="1" x14ac:dyDescent="0.3">
      <c r="A28" t="s">
        <v>10</v>
      </c>
    </row>
    <row r="29" spans="1:15" ht="21" x14ac:dyDescent="0.35">
      <c r="A29" s="15" t="s">
        <v>16</v>
      </c>
      <c r="B29" s="8" t="s">
        <v>1</v>
      </c>
      <c r="C29" s="8" t="s">
        <v>2</v>
      </c>
      <c r="D29" s="8" t="s">
        <v>3</v>
      </c>
      <c r="E29" s="8" t="s">
        <v>4</v>
      </c>
      <c r="F29" s="8" t="s">
        <v>5</v>
      </c>
      <c r="G29" s="9" t="s">
        <v>12</v>
      </c>
    </row>
    <row r="30" spans="1:15" x14ac:dyDescent="0.25">
      <c r="A30" s="10">
        <v>1</v>
      </c>
      <c r="B30" s="3">
        <v>0</v>
      </c>
      <c r="C30" s="4">
        <v>0</v>
      </c>
      <c r="D30" s="4">
        <v>0</v>
      </c>
      <c r="E30" s="4">
        <v>0</v>
      </c>
      <c r="F30" s="5">
        <v>0</v>
      </c>
      <c r="G30" s="11">
        <f>(SUM(B30:F30)/5)*100</f>
        <v>0</v>
      </c>
    </row>
    <row r="31" spans="1:15" x14ac:dyDescent="0.25">
      <c r="A31" s="10">
        <v>2</v>
      </c>
      <c r="B31" s="6">
        <v>0</v>
      </c>
      <c r="C31">
        <v>0</v>
      </c>
      <c r="D31">
        <v>0</v>
      </c>
      <c r="E31">
        <v>0</v>
      </c>
      <c r="F31" s="7">
        <v>0</v>
      </c>
      <c r="G31" s="11">
        <f t="shared" ref="G31:G49" si="5">(SUM(B31:F31)/5)*100</f>
        <v>0</v>
      </c>
    </row>
    <row r="32" spans="1:15" x14ac:dyDescent="0.25">
      <c r="A32" s="10">
        <v>3</v>
      </c>
      <c r="B32" s="6">
        <v>0</v>
      </c>
      <c r="C32">
        <v>0</v>
      </c>
      <c r="D32">
        <v>0</v>
      </c>
      <c r="E32">
        <v>0</v>
      </c>
      <c r="F32" s="7">
        <v>0</v>
      </c>
      <c r="G32" s="11">
        <f t="shared" si="5"/>
        <v>0</v>
      </c>
    </row>
    <row r="33" spans="1:7" x14ac:dyDescent="0.25">
      <c r="A33" s="10">
        <v>4</v>
      </c>
      <c r="B33" s="6">
        <v>0</v>
      </c>
      <c r="C33">
        <v>0</v>
      </c>
      <c r="D33">
        <v>0</v>
      </c>
      <c r="E33">
        <v>0</v>
      </c>
      <c r="F33" s="7">
        <v>0</v>
      </c>
      <c r="G33" s="11">
        <f t="shared" si="5"/>
        <v>0</v>
      </c>
    </row>
    <row r="34" spans="1:7" x14ac:dyDescent="0.25">
      <c r="A34" s="10">
        <v>5</v>
      </c>
      <c r="B34" s="6">
        <v>0</v>
      </c>
      <c r="C34">
        <v>0</v>
      </c>
      <c r="D34">
        <v>0</v>
      </c>
      <c r="E34">
        <v>0</v>
      </c>
      <c r="F34" s="7">
        <v>0</v>
      </c>
      <c r="G34" s="11">
        <f t="shared" si="5"/>
        <v>0</v>
      </c>
    </row>
    <row r="35" spans="1:7" x14ac:dyDescent="0.25">
      <c r="A35" s="10">
        <v>6</v>
      </c>
      <c r="B35" s="6">
        <v>0</v>
      </c>
      <c r="C35">
        <v>0</v>
      </c>
      <c r="D35">
        <v>0</v>
      </c>
      <c r="E35">
        <v>0</v>
      </c>
      <c r="F35" s="7">
        <v>0</v>
      </c>
      <c r="G35" s="11">
        <f t="shared" si="5"/>
        <v>0</v>
      </c>
    </row>
    <row r="36" spans="1:7" x14ac:dyDescent="0.25">
      <c r="A36" s="10">
        <v>7</v>
      </c>
      <c r="B36" s="6">
        <v>0</v>
      </c>
      <c r="C36">
        <v>0</v>
      </c>
      <c r="D36">
        <v>0</v>
      </c>
      <c r="E36">
        <v>0</v>
      </c>
      <c r="F36" s="7">
        <v>0</v>
      </c>
      <c r="G36" s="11">
        <f t="shared" si="5"/>
        <v>0</v>
      </c>
    </row>
    <row r="37" spans="1:7" x14ac:dyDescent="0.25">
      <c r="A37" s="10">
        <v>8</v>
      </c>
      <c r="B37" s="6">
        <v>0</v>
      </c>
      <c r="C37">
        <v>0</v>
      </c>
      <c r="D37">
        <v>0</v>
      </c>
      <c r="E37">
        <v>0</v>
      </c>
      <c r="F37" s="7">
        <v>0</v>
      </c>
      <c r="G37" s="11">
        <f t="shared" si="5"/>
        <v>0</v>
      </c>
    </row>
    <row r="38" spans="1:7" x14ac:dyDescent="0.25">
      <c r="A38" s="10">
        <v>9</v>
      </c>
      <c r="B38" s="6">
        <v>0</v>
      </c>
      <c r="C38">
        <v>0</v>
      </c>
      <c r="D38">
        <v>0</v>
      </c>
      <c r="E38">
        <v>0</v>
      </c>
      <c r="F38" s="7">
        <v>0</v>
      </c>
      <c r="G38" s="11">
        <f t="shared" si="5"/>
        <v>0</v>
      </c>
    </row>
    <row r="39" spans="1:7" x14ac:dyDescent="0.25">
      <c r="A39" s="10">
        <v>10</v>
      </c>
      <c r="B39" s="6">
        <v>0</v>
      </c>
      <c r="C39">
        <v>0</v>
      </c>
      <c r="D39">
        <v>0</v>
      </c>
      <c r="E39">
        <v>0</v>
      </c>
      <c r="F39" s="7">
        <v>0</v>
      </c>
      <c r="G39" s="11">
        <f t="shared" si="5"/>
        <v>0</v>
      </c>
    </row>
    <row r="40" spans="1:7" x14ac:dyDescent="0.25">
      <c r="A40" s="10">
        <v>11</v>
      </c>
      <c r="B40" s="6">
        <v>0</v>
      </c>
      <c r="C40">
        <v>0</v>
      </c>
      <c r="D40">
        <v>0</v>
      </c>
      <c r="E40">
        <v>0</v>
      </c>
      <c r="F40" s="7">
        <v>0</v>
      </c>
      <c r="G40" s="11">
        <f t="shared" si="5"/>
        <v>0</v>
      </c>
    </row>
    <row r="41" spans="1:7" x14ac:dyDescent="0.25">
      <c r="A41" s="10">
        <v>12</v>
      </c>
      <c r="B41" s="6">
        <v>0</v>
      </c>
      <c r="C41">
        <v>0</v>
      </c>
      <c r="D41">
        <v>0</v>
      </c>
      <c r="E41">
        <v>0</v>
      </c>
      <c r="F41" s="7">
        <v>0</v>
      </c>
      <c r="G41" s="11">
        <f t="shared" si="5"/>
        <v>0</v>
      </c>
    </row>
    <row r="42" spans="1:7" x14ac:dyDescent="0.25">
      <c r="A42" s="10">
        <v>13</v>
      </c>
      <c r="B42" s="6">
        <v>0</v>
      </c>
      <c r="C42">
        <v>0</v>
      </c>
      <c r="D42">
        <v>0</v>
      </c>
      <c r="E42">
        <v>0</v>
      </c>
      <c r="F42" s="7">
        <v>0</v>
      </c>
      <c r="G42" s="11">
        <f t="shared" si="5"/>
        <v>0</v>
      </c>
    </row>
    <row r="43" spans="1:7" x14ac:dyDescent="0.25">
      <c r="A43" s="10">
        <v>14</v>
      </c>
      <c r="B43" s="6">
        <v>0</v>
      </c>
      <c r="C43">
        <v>0</v>
      </c>
      <c r="D43">
        <v>0</v>
      </c>
      <c r="E43">
        <v>0</v>
      </c>
      <c r="F43" s="7">
        <v>0</v>
      </c>
      <c r="G43" s="11">
        <f t="shared" si="5"/>
        <v>0</v>
      </c>
    </row>
    <row r="44" spans="1:7" x14ac:dyDescent="0.25">
      <c r="A44" s="10">
        <v>15</v>
      </c>
      <c r="B44" s="6">
        <v>0</v>
      </c>
      <c r="C44">
        <v>0</v>
      </c>
      <c r="D44">
        <v>0</v>
      </c>
      <c r="E44">
        <v>0</v>
      </c>
      <c r="F44" s="7">
        <v>0</v>
      </c>
      <c r="G44" s="11">
        <f t="shared" si="5"/>
        <v>0</v>
      </c>
    </row>
    <row r="45" spans="1:7" x14ac:dyDescent="0.25">
      <c r="A45" s="10">
        <v>16</v>
      </c>
      <c r="B45" s="6">
        <v>0</v>
      </c>
      <c r="C45">
        <v>0</v>
      </c>
      <c r="D45">
        <v>0</v>
      </c>
      <c r="E45">
        <v>0</v>
      </c>
      <c r="F45" s="7">
        <v>0</v>
      </c>
      <c r="G45" s="11">
        <f t="shared" si="5"/>
        <v>0</v>
      </c>
    </row>
    <row r="46" spans="1:7" x14ac:dyDescent="0.25">
      <c r="A46" s="10">
        <v>17</v>
      </c>
      <c r="B46" s="6">
        <v>0</v>
      </c>
      <c r="C46">
        <v>0</v>
      </c>
      <c r="D46">
        <v>0</v>
      </c>
      <c r="E46">
        <v>0</v>
      </c>
      <c r="F46" s="7">
        <v>0</v>
      </c>
      <c r="G46" s="11">
        <f t="shared" si="5"/>
        <v>0</v>
      </c>
    </row>
    <row r="47" spans="1:7" x14ac:dyDescent="0.25">
      <c r="A47" s="10">
        <v>18</v>
      </c>
      <c r="B47" s="6">
        <v>0</v>
      </c>
      <c r="C47">
        <v>0</v>
      </c>
      <c r="D47">
        <v>0</v>
      </c>
      <c r="E47">
        <v>0</v>
      </c>
      <c r="F47" s="7">
        <v>0</v>
      </c>
      <c r="G47" s="11">
        <f t="shared" si="5"/>
        <v>0</v>
      </c>
    </row>
    <row r="48" spans="1:7" x14ac:dyDescent="0.25">
      <c r="A48" s="10">
        <v>19</v>
      </c>
      <c r="B48" s="6">
        <v>0</v>
      </c>
      <c r="C48">
        <v>0</v>
      </c>
      <c r="D48">
        <v>0</v>
      </c>
      <c r="E48">
        <v>0</v>
      </c>
      <c r="F48" s="7">
        <v>0</v>
      </c>
      <c r="G48" s="11">
        <f t="shared" si="5"/>
        <v>0</v>
      </c>
    </row>
    <row r="49" spans="1:7" ht="15.75" thickBot="1" x14ac:dyDescent="0.3">
      <c r="A49" s="10">
        <v>20</v>
      </c>
      <c r="B49" s="6">
        <v>0</v>
      </c>
      <c r="C49">
        <v>0</v>
      </c>
      <c r="D49">
        <v>0</v>
      </c>
      <c r="E49">
        <v>0</v>
      </c>
      <c r="F49" s="7">
        <v>0</v>
      </c>
      <c r="G49" s="11">
        <f t="shared" si="5"/>
        <v>0</v>
      </c>
    </row>
    <row r="50" spans="1:7" ht="15.75" thickBot="1" x14ac:dyDescent="0.3">
      <c r="A50" s="12" t="s">
        <v>12</v>
      </c>
      <c r="B50" s="55">
        <f>AVERAGE(B30:B49)</f>
        <v>0</v>
      </c>
      <c r="C50" s="55">
        <f t="shared" ref="C50:F50" si="6">AVERAGE(C30:C49)</f>
        <v>0</v>
      </c>
      <c r="D50" s="55">
        <f t="shared" si="6"/>
        <v>0</v>
      </c>
      <c r="E50" s="55">
        <f t="shared" si="6"/>
        <v>0</v>
      </c>
      <c r="F50" s="55">
        <f t="shared" si="6"/>
        <v>0</v>
      </c>
      <c r="G50" s="54">
        <f>SUM(B50:F50)/5</f>
        <v>0</v>
      </c>
    </row>
  </sheetData>
  <phoneticPr fontId="1" type="noConversion"/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60349-575F-4A30-986F-9D6437322E0B}">
  <dimension ref="A1:Q84"/>
  <sheetViews>
    <sheetView topLeftCell="A28" zoomScale="70" zoomScaleNormal="70" workbookViewId="0">
      <selection activeCell="Q39" sqref="Q39"/>
    </sheetView>
  </sheetViews>
  <sheetFormatPr defaultRowHeight="15" x14ac:dyDescent="0.25"/>
  <cols>
    <col min="1" max="1" width="22.85546875" customWidth="1"/>
    <col min="2" max="6" width="12.7109375" customWidth="1"/>
    <col min="7" max="7" width="14" customWidth="1"/>
    <col min="8" max="8" width="12.7109375" customWidth="1"/>
    <col min="9" max="9" width="21.28515625" customWidth="1"/>
    <col min="10" max="15" width="12.7109375" customWidth="1"/>
  </cols>
  <sheetData>
    <row r="1" spans="1:17" ht="36" x14ac:dyDescent="0.55000000000000004">
      <c r="B1" s="1" t="s">
        <v>13</v>
      </c>
      <c r="I1" t="s">
        <v>11</v>
      </c>
    </row>
    <row r="2" spans="1:17" ht="27" thickBot="1" x14ac:dyDescent="0.45">
      <c r="A2" t="s">
        <v>9</v>
      </c>
      <c r="B2" s="2"/>
      <c r="I2" t="s">
        <v>10</v>
      </c>
      <c r="K2" t="s">
        <v>15</v>
      </c>
    </row>
    <row r="3" spans="1:17" ht="21.75" thickBot="1" x14ac:dyDescent="0.4">
      <c r="A3" s="15" t="s">
        <v>7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9" t="s">
        <v>12</v>
      </c>
      <c r="I3" s="15" t="s">
        <v>18</v>
      </c>
      <c r="J3" s="8" t="s">
        <v>1</v>
      </c>
      <c r="K3" s="8" t="s">
        <v>2</v>
      </c>
      <c r="L3" s="8" t="s">
        <v>3</v>
      </c>
      <c r="M3" s="8" t="s">
        <v>4</v>
      </c>
      <c r="N3" s="8" t="s">
        <v>5</v>
      </c>
      <c r="O3" s="9" t="s">
        <v>6</v>
      </c>
      <c r="Q3" t="s">
        <v>14</v>
      </c>
    </row>
    <row r="4" spans="1:17" ht="15.75" thickBot="1" x14ac:dyDescent="0.3">
      <c r="A4" s="23">
        <v>1</v>
      </c>
      <c r="B4" s="3">
        <v>151043700</v>
      </c>
      <c r="C4" s="4">
        <v>174117300</v>
      </c>
      <c r="D4" s="4">
        <v>229439600</v>
      </c>
      <c r="E4" s="4">
        <v>130702200</v>
      </c>
      <c r="F4" s="5">
        <v>151270000</v>
      </c>
      <c r="G4" s="20">
        <f t="shared" ref="G4:G7" si="0">SUM(B4:F4)/5</f>
        <v>167314560</v>
      </c>
      <c r="I4" s="23">
        <v>1</v>
      </c>
      <c r="J4" s="3">
        <v>13</v>
      </c>
      <c r="K4" s="4">
        <v>14</v>
      </c>
      <c r="L4" s="4">
        <v>13.8</v>
      </c>
      <c r="M4" s="4">
        <v>9.8000000000000007</v>
      </c>
      <c r="N4" s="5">
        <v>10.8</v>
      </c>
      <c r="O4" s="22">
        <f>SUM(J4:N4)/5</f>
        <v>12.279999999999998</v>
      </c>
      <c r="Q4" s="21">
        <v>10</v>
      </c>
    </row>
    <row r="5" spans="1:17" x14ac:dyDescent="0.25">
      <c r="A5" s="10">
        <v>2</v>
      </c>
      <c r="B5" s="6">
        <v>135969700</v>
      </c>
      <c r="C5">
        <v>159895100</v>
      </c>
      <c r="D5">
        <v>147354200</v>
      </c>
      <c r="E5">
        <v>131800700</v>
      </c>
      <c r="F5" s="7">
        <v>174394800</v>
      </c>
      <c r="G5" s="11">
        <f t="shared" si="0"/>
        <v>149882900</v>
      </c>
      <c r="I5" s="10">
        <v>2</v>
      </c>
      <c r="J5" s="6">
        <v>12</v>
      </c>
      <c r="K5">
        <v>14.8</v>
      </c>
      <c r="L5">
        <v>12.8</v>
      </c>
      <c r="M5">
        <v>12.2</v>
      </c>
      <c r="N5" s="7">
        <v>13.6</v>
      </c>
      <c r="O5" s="11">
        <f t="shared" ref="O5:O23" si="1">SUM(J5:N5)/5</f>
        <v>13.079999999999998</v>
      </c>
    </row>
    <row r="6" spans="1:17" x14ac:dyDescent="0.25">
      <c r="A6" s="10">
        <v>3</v>
      </c>
      <c r="B6" s="6">
        <v>137156900</v>
      </c>
      <c r="C6">
        <v>139901000</v>
      </c>
      <c r="D6">
        <v>129692300</v>
      </c>
      <c r="E6">
        <v>121822700</v>
      </c>
      <c r="F6" s="7">
        <v>167999600</v>
      </c>
      <c r="G6" s="11">
        <f t="shared" si="0"/>
        <v>139314500</v>
      </c>
      <c r="I6" s="10">
        <v>3</v>
      </c>
      <c r="J6" s="6">
        <v>12.6</v>
      </c>
      <c r="K6">
        <v>12.2</v>
      </c>
      <c r="L6">
        <v>10.8</v>
      </c>
      <c r="M6">
        <v>9.1999999999999993</v>
      </c>
      <c r="N6" s="7">
        <v>12.2</v>
      </c>
      <c r="O6" s="11">
        <f t="shared" si="1"/>
        <v>11.4</v>
      </c>
    </row>
    <row r="7" spans="1:17" x14ac:dyDescent="0.25">
      <c r="A7" s="10">
        <v>4</v>
      </c>
      <c r="B7" s="6">
        <v>152060300</v>
      </c>
      <c r="C7">
        <v>150347100</v>
      </c>
      <c r="D7">
        <v>119678100</v>
      </c>
      <c r="E7">
        <v>140309100</v>
      </c>
      <c r="F7" s="7">
        <v>168204300</v>
      </c>
      <c r="G7" s="11">
        <f t="shared" si="0"/>
        <v>146119780</v>
      </c>
      <c r="I7" s="10">
        <v>4</v>
      </c>
      <c r="J7" s="6">
        <v>14.2</v>
      </c>
      <c r="K7">
        <v>13.6</v>
      </c>
      <c r="L7">
        <v>9.4</v>
      </c>
      <c r="M7">
        <v>12</v>
      </c>
      <c r="N7" s="7">
        <v>15.2</v>
      </c>
      <c r="O7" s="11">
        <f t="shared" si="1"/>
        <v>12.879999999999999</v>
      </c>
    </row>
    <row r="8" spans="1:17" x14ac:dyDescent="0.25">
      <c r="A8" s="10">
        <v>5</v>
      </c>
      <c r="B8" s="6">
        <v>138096000</v>
      </c>
      <c r="C8">
        <v>154779300</v>
      </c>
      <c r="D8">
        <v>155759600</v>
      </c>
      <c r="E8">
        <v>215989800</v>
      </c>
      <c r="F8" s="7">
        <v>170526100</v>
      </c>
      <c r="G8" s="11">
        <f>SUM(B8:F8)/5</f>
        <v>167030160</v>
      </c>
      <c r="I8" s="10">
        <v>5</v>
      </c>
      <c r="J8" s="6">
        <v>13.4</v>
      </c>
      <c r="K8">
        <v>13.8</v>
      </c>
      <c r="L8">
        <v>15.2</v>
      </c>
      <c r="M8">
        <v>14.4</v>
      </c>
      <c r="N8" s="7">
        <v>16.2</v>
      </c>
      <c r="O8" s="11">
        <f t="shared" si="1"/>
        <v>14.6</v>
      </c>
    </row>
    <row r="9" spans="1:17" x14ac:dyDescent="0.25">
      <c r="A9" s="10">
        <v>6</v>
      </c>
      <c r="B9" s="6">
        <v>128768300</v>
      </c>
      <c r="C9">
        <v>128070000</v>
      </c>
      <c r="D9">
        <v>139796300</v>
      </c>
      <c r="E9">
        <v>138948500</v>
      </c>
      <c r="F9" s="7">
        <v>159896500</v>
      </c>
      <c r="G9" s="11">
        <f t="shared" ref="G9:G23" si="2">SUM(B9:F9)/5</f>
        <v>139095920</v>
      </c>
      <c r="I9" s="10">
        <v>6</v>
      </c>
      <c r="J9" s="6">
        <v>12</v>
      </c>
      <c r="K9">
        <v>11</v>
      </c>
      <c r="L9">
        <v>12.8</v>
      </c>
      <c r="M9">
        <v>11.6</v>
      </c>
      <c r="N9" s="7">
        <v>14.8</v>
      </c>
      <c r="O9" s="11">
        <f t="shared" si="1"/>
        <v>12.440000000000001</v>
      </c>
    </row>
    <row r="10" spans="1:17" x14ac:dyDescent="0.25">
      <c r="A10" s="10">
        <v>7</v>
      </c>
      <c r="B10" s="6">
        <v>122602200</v>
      </c>
      <c r="C10">
        <v>155227700</v>
      </c>
      <c r="D10">
        <v>151140700</v>
      </c>
      <c r="E10">
        <v>120078900</v>
      </c>
      <c r="F10" s="7">
        <v>132655800</v>
      </c>
      <c r="G10" s="11">
        <f t="shared" si="2"/>
        <v>136341060</v>
      </c>
      <c r="I10" s="10">
        <v>7</v>
      </c>
      <c r="J10" s="6">
        <v>10.199999999999999</v>
      </c>
      <c r="K10">
        <v>14.4</v>
      </c>
      <c r="L10">
        <v>14.4</v>
      </c>
      <c r="M10">
        <v>10.199999999999999</v>
      </c>
      <c r="N10" s="7">
        <v>10.6</v>
      </c>
      <c r="O10" s="11">
        <f t="shared" si="1"/>
        <v>11.96</v>
      </c>
    </row>
    <row r="11" spans="1:17" x14ac:dyDescent="0.25">
      <c r="A11" s="10">
        <v>8</v>
      </c>
      <c r="B11" s="6">
        <v>136207600</v>
      </c>
      <c r="C11">
        <v>152106100</v>
      </c>
      <c r="D11">
        <v>131576800</v>
      </c>
      <c r="E11">
        <v>137137400</v>
      </c>
      <c r="F11" s="7">
        <v>178900000</v>
      </c>
      <c r="G11" s="11">
        <f t="shared" si="2"/>
        <v>147185580</v>
      </c>
      <c r="I11" s="10">
        <v>8</v>
      </c>
      <c r="J11" s="6">
        <v>12.8</v>
      </c>
      <c r="K11">
        <v>12.8</v>
      </c>
      <c r="L11">
        <v>11</v>
      </c>
      <c r="M11">
        <v>12</v>
      </c>
      <c r="N11" s="7">
        <v>14.6</v>
      </c>
      <c r="O11" s="11">
        <f t="shared" si="1"/>
        <v>12.64</v>
      </c>
    </row>
    <row r="12" spans="1:17" x14ac:dyDescent="0.25">
      <c r="A12" s="10">
        <v>9</v>
      </c>
      <c r="B12" s="6">
        <v>221377200</v>
      </c>
      <c r="C12">
        <v>239240700</v>
      </c>
      <c r="D12">
        <v>124596600</v>
      </c>
      <c r="E12">
        <v>140016000</v>
      </c>
      <c r="F12" s="7">
        <v>159811500</v>
      </c>
      <c r="G12" s="11">
        <f t="shared" si="2"/>
        <v>177008400</v>
      </c>
      <c r="I12" s="10">
        <v>9</v>
      </c>
      <c r="J12" s="6">
        <v>29.6</v>
      </c>
      <c r="K12">
        <v>11.6</v>
      </c>
      <c r="L12">
        <v>10.6</v>
      </c>
      <c r="M12">
        <v>13.2</v>
      </c>
      <c r="N12" s="7">
        <v>13.6</v>
      </c>
      <c r="O12" s="11">
        <f t="shared" si="1"/>
        <v>15.719999999999999</v>
      </c>
    </row>
    <row r="13" spans="1:17" x14ac:dyDescent="0.25">
      <c r="A13" s="10">
        <v>10</v>
      </c>
      <c r="B13" s="6">
        <v>160434400</v>
      </c>
      <c r="C13">
        <v>245971300</v>
      </c>
      <c r="D13">
        <v>482259000</v>
      </c>
      <c r="E13">
        <v>131550100</v>
      </c>
      <c r="F13" s="7">
        <v>196098300</v>
      </c>
      <c r="G13" s="11">
        <f t="shared" si="2"/>
        <v>243262620</v>
      </c>
      <c r="I13" s="10">
        <v>10</v>
      </c>
      <c r="J13" s="6">
        <v>17.399999999999999</v>
      </c>
      <c r="K13">
        <v>11.8</v>
      </c>
      <c r="L13">
        <v>13.6</v>
      </c>
      <c r="M13">
        <v>10.6</v>
      </c>
      <c r="N13" s="7">
        <v>14.8</v>
      </c>
      <c r="O13" s="11">
        <f t="shared" si="1"/>
        <v>13.64</v>
      </c>
    </row>
    <row r="14" spans="1:17" x14ac:dyDescent="0.25">
      <c r="A14" s="10">
        <v>11</v>
      </c>
      <c r="B14" s="6">
        <v>134747300</v>
      </c>
      <c r="C14">
        <v>158349200</v>
      </c>
      <c r="D14">
        <v>146766500</v>
      </c>
      <c r="E14">
        <v>149546800</v>
      </c>
      <c r="F14" s="7">
        <v>151123100</v>
      </c>
      <c r="G14" s="11">
        <f t="shared" si="2"/>
        <v>148106580</v>
      </c>
      <c r="I14" s="10">
        <v>11</v>
      </c>
      <c r="J14" s="6">
        <v>12.8</v>
      </c>
      <c r="K14">
        <v>14.4</v>
      </c>
      <c r="L14">
        <v>13.8</v>
      </c>
      <c r="M14">
        <v>13</v>
      </c>
      <c r="N14" s="7">
        <v>13.8</v>
      </c>
      <c r="O14" s="11">
        <f t="shared" si="1"/>
        <v>13.559999999999999</v>
      </c>
    </row>
    <row r="15" spans="1:17" x14ac:dyDescent="0.25">
      <c r="A15" s="10">
        <v>12</v>
      </c>
      <c r="B15" s="6">
        <v>135202900</v>
      </c>
      <c r="C15">
        <v>148268400</v>
      </c>
      <c r="D15">
        <v>120380100</v>
      </c>
      <c r="E15">
        <v>120870300</v>
      </c>
      <c r="F15" s="7">
        <v>140841900</v>
      </c>
      <c r="G15" s="11">
        <f t="shared" si="2"/>
        <v>133112720</v>
      </c>
      <c r="I15" s="10">
        <v>12</v>
      </c>
      <c r="J15" s="6">
        <v>13.4</v>
      </c>
      <c r="K15">
        <v>13.8</v>
      </c>
      <c r="L15">
        <v>9</v>
      </c>
      <c r="M15">
        <v>9.8000000000000007</v>
      </c>
      <c r="N15" s="7">
        <v>12.2</v>
      </c>
      <c r="O15" s="11">
        <f t="shared" si="1"/>
        <v>11.64</v>
      </c>
    </row>
    <row r="16" spans="1:17" x14ac:dyDescent="0.25">
      <c r="A16" s="10">
        <v>13</v>
      </c>
      <c r="B16" s="6">
        <v>150574500</v>
      </c>
      <c r="C16">
        <v>164295200</v>
      </c>
      <c r="D16">
        <v>156243700</v>
      </c>
      <c r="E16">
        <v>120527500</v>
      </c>
      <c r="F16" s="7">
        <v>159285700</v>
      </c>
      <c r="G16" s="11">
        <f t="shared" si="2"/>
        <v>150185320</v>
      </c>
      <c r="I16" s="10">
        <v>13</v>
      </c>
      <c r="J16" s="6">
        <v>15</v>
      </c>
      <c r="K16">
        <v>15.4</v>
      </c>
      <c r="L16">
        <v>15</v>
      </c>
      <c r="M16">
        <v>9.6</v>
      </c>
      <c r="N16" s="7">
        <v>13.6</v>
      </c>
      <c r="O16" s="11">
        <f t="shared" si="1"/>
        <v>13.719999999999999</v>
      </c>
    </row>
    <row r="17" spans="1:15" x14ac:dyDescent="0.25">
      <c r="A17" s="10">
        <v>14</v>
      </c>
      <c r="B17" s="6">
        <v>157623700</v>
      </c>
      <c r="C17">
        <v>173312900</v>
      </c>
      <c r="D17">
        <v>133830500</v>
      </c>
      <c r="E17">
        <v>141165900</v>
      </c>
      <c r="F17" s="7">
        <v>174429300</v>
      </c>
      <c r="G17" s="11">
        <f t="shared" si="2"/>
        <v>156072460</v>
      </c>
      <c r="I17" s="10">
        <v>14</v>
      </c>
      <c r="J17" s="6">
        <v>16.399999999999999</v>
      </c>
      <c r="K17">
        <v>15.6</v>
      </c>
      <c r="L17">
        <v>11.6</v>
      </c>
      <c r="M17">
        <v>13.2</v>
      </c>
      <c r="N17" s="7">
        <v>15.4</v>
      </c>
      <c r="O17" s="11">
        <f t="shared" si="1"/>
        <v>14.440000000000001</v>
      </c>
    </row>
    <row r="18" spans="1:15" x14ac:dyDescent="0.25">
      <c r="A18" s="10">
        <v>15</v>
      </c>
      <c r="B18" s="6">
        <v>143463000</v>
      </c>
      <c r="C18">
        <v>147844900</v>
      </c>
      <c r="D18">
        <v>139845200</v>
      </c>
      <c r="E18">
        <v>135854100</v>
      </c>
      <c r="F18" s="7">
        <v>177277500</v>
      </c>
      <c r="G18" s="11">
        <f t="shared" si="2"/>
        <v>148856940</v>
      </c>
      <c r="I18" s="10">
        <v>15</v>
      </c>
      <c r="J18" s="6">
        <v>14</v>
      </c>
      <c r="K18">
        <v>13.8</v>
      </c>
      <c r="L18">
        <v>11.8</v>
      </c>
      <c r="M18">
        <v>11.6</v>
      </c>
      <c r="N18" s="7">
        <v>14.4</v>
      </c>
      <c r="O18" s="11">
        <f t="shared" si="1"/>
        <v>13.120000000000001</v>
      </c>
    </row>
    <row r="19" spans="1:15" x14ac:dyDescent="0.25">
      <c r="A19" s="10">
        <v>16</v>
      </c>
      <c r="B19" s="6">
        <v>148800400</v>
      </c>
      <c r="C19">
        <v>181654500</v>
      </c>
      <c r="D19">
        <v>131036500</v>
      </c>
      <c r="E19">
        <v>132613000</v>
      </c>
      <c r="F19" s="7">
        <v>165683200</v>
      </c>
      <c r="G19" s="11">
        <f t="shared" si="2"/>
        <v>151957520</v>
      </c>
      <c r="I19" s="10">
        <v>16</v>
      </c>
      <c r="J19" s="6">
        <v>14.4</v>
      </c>
      <c r="K19">
        <v>18.600000000000001</v>
      </c>
      <c r="L19">
        <v>11.8</v>
      </c>
      <c r="M19">
        <v>12</v>
      </c>
      <c r="N19" s="7">
        <v>15.2</v>
      </c>
      <c r="O19" s="11">
        <f t="shared" si="1"/>
        <v>14.4</v>
      </c>
    </row>
    <row r="20" spans="1:15" x14ac:dyDescent="0.25">
      <c r="A20" s="10">
        <v>17</v>
      </c>
      <c r="B20" s="6">
        <v>150245000</v>
      </c>
      <c r="C20">
        <v>165929600</v>
      </c>
      <c r="D20">
        <v>128764800</v>
      </c>
      <c r="E20">
        <v>121299400</v>
      </c>
      <c r="F20" s="7">
        <v>162898300</v>
      </c>
      <c r="G20" s="11">
        <f t="shared" si="2"/>
        <v>145827420</v>
      </c>
      <c r="I20" s="10">
        <v>17</v>
      </c>
      <c r="J20" s="6">
        <v>15</v>
      </c>
      <c r="K20">
        <v>16.600000000000001</v>
      </c>
      <c r="L20">
        <v>11</v>
      </c>
      <c r="M20">
        <v>10.4</v>
      </c>
      <c r="N20" s="7">
        <v>14.2</v>
      </c>
      <c r="O20" s="11">
        <f t="shared" si="1"/>
        <v>13.440000000000001</v>
      </c>
    </row>
    <row r="21" spans="1:15" x14ac:dyDescent="0.25">
      <c r="A21" s="10">
        <v>18</v>
      </c>
      <c r="B21" s="6">
        <v>126221400</v>
      </c>
      <c r="C21">
        <v>157538100</v>
      </c>
      <c r="D21">
        <v>140348200</v>
      </c>
      <c r="E21">
        <v>149064100</v>
      </c>
      <c r="F21" s="7">
        <v>208643300</v>
      </c>
      <c r="G21" s="11">
        <f t="shared" si="2"/>
        <v>156363020</v>
      </c>
      <c r="I21" s="10">
        <v>18</v>
      </c>
      <c r="J21" s="6">
        <v>10.199999999999999</v>
      </c>
      <c r="K21">
        <v>12.4</v>
      </c>
      <c r="L21">
        <v>13</v>
      </c>
      <c r="M21">
        <v>12.2</v>
      </c>
      <c r="N21" s="7">
        <v>15</v>
      </c>
      <c r="O21" s="11">
        <f t="shared" si="1"/>
        <v>12.559999999999999</v>
      </c>
    </row>
    <row r="22" spans="1:15" x14ac:dyDescent="0.25">
      <c r="A22" s="10">
        <v>19</v>
      </c>
      <c r="B22" s="6">
        <v>135724100</v>
      </c>
      <c r="C22">
        <v>168716100</v>
      </c>
      <c r="D22">
        <v>132769000</v>
      </c>
      <c r="E22">
        <v>126641100</v>
      </c>
      <c r="F22" s="7">
        <v>182088000</v>
      </c>
      <c r="G22" s="11">
        <f t="shared" si="2"/>
        <v>149187660</v>
      </c>
      <c r="I22" s="10">
        <v>19</v>
      </c>
      <c r="J22" s="6">
        <v>12.6</v>
      </c>
      <c r="K22">
        <v>14</v>
      </c>
      <c r="L22">
        <v>12</v>
      </c>
      <c r="M22">
        <v>10.6</v>
      </c>
      <c r="N22" s="7">
        <v>14.4</v>
      </c>
      <c r="O22" s="11">
        <f t="shared" si="1"/>
        <v>12.72</v>
      </c>
    </row>
    <row r="23" spans="1:15" ht="15.75" thickBot="1" x14ac:dyDescent="0.3">
      <c r="A23" s="10">
        <v>20</v>
      </c>
      <c r="B23" s="17">
        <v>133610400</v>
      </c>
      <c r="C23" s="18">
        <v>181211700</v>
      </c>
      <c r="D23" s="18">
        <v>136932400</v>
      </c>
      <c r="E23" s="18">
        <v>121448400</v>
      </c>
      <c r="F23" s="19">
        <v>182316400</v>
      </c>
      <c r="G23" s="11">
        <f t="shared" si="2"/>
        <v>151103860</v>
      </c>
      <c r="I23" s="10">
        <v>20</v>
      </c>
      <c r="J23" s="17">
        <v>12</v>
      </c>
      <c r="K23" s="18">
        <v>18</v>
      </c>
      <c r="L23" s="18">
        <v>11.4</v>
      </c>
      <c r="M23" s="18">
        <v>9.6</v>
      </c>
      <c r="N23" s="19">
        <v>15</v>
      </c>
      <c r="O23" s="11">
        <f t="shared" si="1"/>
        <v>13.2</v>
      </c>
    </row>
    <row r="24" spans="1:15" ht="15.75" thickBot="1" x14ac:dyDescent="0.3">
      <c r="A24" s="25" t="s">
        <v>12</v>
      </c>
      <c r="B24" s="16">
        <f>SUM(B4:B23)/20</f>
        <v>144996450</v>
      </c>
      <c r="C24" s="16">
        <f t="shared" ref="C24:F24" si="3">SUM(C4:C23)/20</f>
        <v>167338810</v>
      </c>
      <c r="D24" s="16">
        <f t="shared" si="3"/>
        <v>158910505</v>
      </c>
      <c r="E24" s="16">
        <f t="shared" si="3"/>
        <v>136369300</v>
      </c>
      <c r="F24" s="16">
        <f t="shared" si="3"/>
        <v>168217180</v>
      </c>
      <c r="G24" s="21">
        <f>SUM(B24:F24)/5</f>
        <v>155166449</v>
      </c>
      <c r="I24" s="24" t="s">
        <v>6</v>
      </c>
      <c r="J24" s="13">
        <f>SUM(J4:J23)/20</f>
        <v>14.150000000000002</v>
      </c>
      <c r="K24" s="13">
        <f>SUM(K4:K23)/20</f>
        <v>14.13</v>
      </c>
      <c r="L24" s="13">
        <f>SUM(L4:L23)/20</f>
        <v>12.24</v>
      </c>
      <c r="M24" s="13">
        <f>SUM(M4:M23)/20</f>
        <v>11.359999999999998</v>
      </c>
      <c r="N24" s="13">
        <f>SUM(N4:N23)/20</f>
        <v>13.979999999999999</v>
      </c>
      <c r="O24" s="14">
        <f>SUM(J24:N24)/5</f>
        <v>13.172000000000001</v>
      </c>
    </row>
    <row r="31" spans="1:15" x14ac:dyDescent="0.25">
      <c r="A31" t="s">
        <v>11</v>
      </c>
      <c r="I31" t="s">
        <v>11</v>
      </c>
    </row>
    <row r="32" spans="1:15" ht="15.75" thickBot="1" x14ac:dyDescent="0.3">
      <c r="A32" t="s">
        <v>10</v>
      </c>
      <c r="I32" t="s">
        <v>10</v>
      </c>
    </row>
    <row r="33" spans="1:15" ht="21" x14ac:dyDescent="0.35">
      <c r="A33" s="15" t="s">
        <v>17</v>
      </c>
      <c r="B33" s="8" t="s">
        <v>1</v>
      </c>
      <c r="C33" s="8" t="s">
        <v>2</v>
      </c>
      <c r="D33" s="8" t="s">
        <v>3</v>
      </c>
      <c r="E33" s="8" t="s">
        <v>4</v>
      </c>
      <c r="F33" s="8" t="s">
        <v>5</v>
      </c>
      <c r="G33" s="9" t="s">
        <v>12</v>
      </c>
      <c r="I33" s="15" t="s">
        <v>8</v>
      </c>
      <c r="J33" s="8" t="s">
        <v>1</v>
      </c>
      <c r="K33" s="8" t="s">
        <v>2</v>
      </c>
      <c r="L33" s="8" t="s">
        <v>3</v>
      </c>
      <c r="M33" s="8" t="s">
        <v>4</v>
      </c>
      <c r="N33" s="8" t="s">
        <v>5</v>
      </c>
      <c r="O33" s="9" t="s">
        <v>6</v>
      </c>
    </row>
    <row r="34" spans="1:15" x14ac:dyDescent="0.25">
      <c r="A34" s="23">
        <v>1</v>
      </c>
      <c r="B34" s="3">
        <v>1</v>
      </c>
      <c r="C34" s="4">
        <v>1</v>
      </c>
      <c r="D34" s="4">
        <v>1</v>
      </c>
      <c r="E34" s="4">
        <v>1</v>
      </c>
      <c r="F34" s="5">
        <v>1</v>
      </c>
      <c r="G34" s="22">
        <f>SUM(B34:F34)/5</f>
        <v>1</v>
      </c>
      <c r="I34" s="23">
        <v>1</v>
      </c>
      <c r="J34" s="3">
        <f>IF(J4&gt;$Q$4,1,0)</f>
        <v>1</v>
      </c>
      <c r="K34" s="4">
        <f t="shared" ref="K34:N34" si="4">IF(K4&gt;$Q$4,1,0)</f>
        <v>1</v>
      </c>
      <c r="L34" s="4">
        <f t="shared" si="4"/>
        <v>1</v>
      </c>
      <c r="M34" s="4">
        <f t="shared" si="4"/>
        <v>0</v>
      </c>
      <c r="N34" s="4">
        <f t="shared" si="4"/>
        <v>1</v>
      </c>
      <c r="O34" s="20">
        <f>AVERAGE(J34:N34)</f>
        <v>0.8</v>
      </c>
    </row>
    <row r="35" spans="1:15" x14ac:dyDescent="0.25">
      <c r="A35" s="10">
        <v>2</v>
      </c>
      <c r="B35" s="6">
        <v>1</v>
      </c>
      <c r="C35">
        <v>1</v>
      </c>
      <c r="D35">
        <v>1</v>
      </c>
      <c r="E35">
        <v>1</v>
      </c>
      <c r="F35" s="7">
        <v>1</v>
      </c>
      <c r="G35" s="11">
        <f t="shared" ref="G35:G53" si="5">SUM(B35:F35)/5</f>
        <v>1</v>
      </c>
      <c r="I35" s="10">
        <v>2</v>
      </c>
      <c r="J35" s="6">
        <f t="shared" ref="J35:N53" si="6">IF(J5&gt;$Q$4,1,0)</f>
        <v>1</v>
      </c>
      <c r="K35">
        <f t="shared" si="6"/>
        <v>1</v>
      </c>
      <c r="L35">
        <f t="shared" si="6"/>
        <v>1</v>
      </c>
      <c r="M35">
        <f t="shared" si="6"/>
        <v>1</v>
      </c>
      <c r="N35">
        <f t="shared" si="6"/>
        <v>1</v>
      </c>
      <c r="O35" s="11">
        <f t="shared" ref="O35:O53" si="7">AVERAGE(J35:N35)</f>
        <v>1</v>
      </c>
    </row>
    <row r="36" spans="1:15" x14ac:dyDescent="0.25">
      <c r="A36" s="10">
        <v>3</v>
      </c>
      <c r="B36" s="6">
        <v>1</v>
      </c>
      <c r="C36">
        <v>1</v>
      </c>
      <c r="D36">
        <v>1</v>
      </c>
      <c r="E36">
        <v>1</v>
      </c>
      <c r="F36" s="7">
        <v>1</v>
      </c>
      <c r="G36" s="11">
        <f t="shared" si="5"/>
        <v>1</v>
      </c>
      <c r="I36" s="10">
        <v>3</v>
      </c>
      <c r="J36" s="6">
        <f t="shared" si="6"/>
        <v>1</v>
      </c>
      <c r="K36">
        <f t="shared" si="6"/>
        <v>1</v>
      </c>
      <c r="L36">
        <f t="shared" si="6"/>
        <v>1</v>
      </c>
      <c r="M36">
        <f t="shared" si="6"/>
        <v>0</v>
      </c>
      <c r="N36">
        <f t="shared" si="6"/>
        <v>1</v>
      </c>
      <c r="O36" s="11">
        <f t="shared" si="7"/>
        <v>0.8</v>
      </c>
    </row>
    <row r="37" spans="1:15" x14ac:dyDescent="0.25">
      <c r="A37" s="10">
        <v>4</v>
      </c>
      <c r="B37" s="6">
        <v>1.2</v>
      </c>
      <c r="C37">
        <v>1</v>
      </c>
      <c r="D37">
        <v>1</v>
      </c>
      <c r="E37">
        <v>1</v>
      </c>
      <c r="F37" s="7">
        <v>1</v>
      </c>
      <c r="G37" s="11">
        <f t="shared" si="5"/>
        <v>1.04</v>
      </c>
      <c r="I37" s="10">
        <v>4</v>
      </c>
      <c r="J37" s="6">
        <f t="shared" si="6"/>
        <v>1</v>
      </c>
      <c r="K37">
        <f t="shared" si="6"/>
        <v>1</v>
      </c>
      <c r="L37">
        <f t="shared" si="6"/>
        <v>0</v>
      </c>
      <c r="M37">
        <f t="shared" si="6"/>
        <v>1</v>
      </c>
      <c r="N37">
        <f t="shared" si="6"/>
        <v>1</v>
      </c>
      <c r="O37" s="11">
        <f t="shared" si="7"/>
        <v>0.8</v>
      </c>
    </row>
    <row r="38" spans="1:15" x14ac:dyDescent="0.25">
      <c r="A38" s="10">
        <v>5</v>
      </c>
      <c r="B38" s="6">
        <v>1</v>
      </c>
      <c r="C38">
        <v>1</v>
      </c>
      <c r="D38">
        <v>1</v>
      </c>
      <c r="E38">
        <v>1</v>
      </c>
      <c r="F38" s="7">
        <v>1</v>
      </c>
      <c r="G38" s="11">
        <f t="shared" si="5"/>
        <v>1</v>
      </c>
      <c r="I38" s="10">
        <v>5</v>
      </c>
      <c r="J38" s="6">
        <f t="shared" si="6"/>
        <v>1</v>
      </c>
      <c r="K38">
        <f t="shared" si="6"/>
        <v>1</v>
      </c>
      <c r="L38">
        <f t="shared" si="6"/>
        <v>1</v>
      </c>
      <c r="M38">
        <f t="shared" si="6"/>
        <v>1</v>
      </c>
      <c r="N38">
        <f t="shared" si="6"/>
        <v>1</v>
      </c>
      <c r="O38" s="11">
        <f t="shared" si="7"/>
        <v>1</v>
      </c>
    </row>
    <row r="39" spans="1:15" x14ac:dyDescent="0.25">
      <c r="A39" s="10">
        <v>6</v>
      </c>
      <c r="B39" s="6">
        <v>1</v>
      </c>
      <c r="C39">
        <v>1</v>
      </c>
      <c r="D39">
        <v>1</v>
      </c>
      <c r="E39">
        <v>1</v>
      </c>
      <c r="F39" s="7">
        <v>1</v>
      </c>
      <c r="G39" s="11">
        <f t="shared" si="5"/>
        <v>1</v>
      </c>
      <c r="I39" s="10">
        <v>6</v>
      </c>
      <c r="J39" s="6">
        <f t="shared" si="6"/>
        <v>1</v>
      </c>
      <c r="K39">
        <f t="shared" si="6"/>
        <v>1</v>
      </c>
      <c r="L39">
        <f t="shared" si="6"/>
        <v>1</v>
      </c>
      <c r="M39">
        <f t="shared" si="6"/>
        <v>1</v>
      </c>
      <c r="N39">
        <f t="shared" si="6"/>
        <v>1</v>
      </c>
      <c r="O39" s="11">
        <f t="shared" si="7"/>
        <v>1</v>
      </c>
    </row>
    <row r="40" spans="1:15" x14ac:dyDescent="0.25">
      <c r="A40" s="10">
        <v>7</v>
      </c>
      <c r="B40" s="6">
        <v>1</v>
      </c>
      <c r="C40">
        <v>1</v>
      </c>
      <c r="D40">
        <v>1</v>
      </c>
      <c r="E40">
        <v>1</v>
      </c>
      <c r="F40" s="7">
        <v>1</v>
      </c>
      <c r="G40" s="11">
        <f t="shared" si="5"/>
        <v>1</v>
      </c>
      <c r="I40" s="10">
        <v>7</v>
      </c>
      <c r="J40" s="6">
        <f t="shared" si="6"/>
        <v>1</v>
      </c>
      <c r="K40">
        <f t="shared" si="6"/>
        <v>1</v>
      </c>
      <c r="L40">
        <f t="shared" si="6"/>
        <v>1</v>
      </c>
      <c r="M40">
        <f t="shared" si="6"/>
        <v>1</v>
      </c>
      <c r="N40">
        <f t="shared" si="6"/>
        <v>1</v>
      </c>
      <c r="O40" s="11">
        <f t="shared" si="7"/>
        <v>1</v>
      </c>
    </row>
    <row r="41" spans="1:15" x14ac:dyDescent="0.25">
      <c r="A41" s="10">
        <v>8</v>
      </c>
      <c r="B41" s="6">
        <v>1</v>
      </c>
      <c r="C41">
        <v>1</v>
      </c>
      <c r="D41">
        <v>1</v>
      </c>
      <c r="E41">
        <v>1</v>
      </c>
      <c r="F41" s="7">
        <v>1</v>
      </c>
      <c r="G41" s="11">
        <f t="shared" si="5"/>
        <v>1</v>
      </c>
      <c r="I41" s="10">
        <v>8</v>
      </c>
      <c r="J41" s="6">
        <f t="shared" si="6"/>
        <v>1</v>
      </c>
      <c r="K41">
        <f t="shared" si="6"/>
        <v>1</v>
      </c>
      <c r="L41">
        <f t="shared" si="6"/>
        <v>1</v>
      </c>
      <c r="M41">
        <f t="shared" si="6"/>
        <v>1</v>
      </c>
      <c r="N41">
        <f t="shared" si="6"/>
        <v>1</v>
      </c>
      <c r="O41" s="11">
        <f t="shared" si="7"/>
        <v>1</v>
      </c>
    </row>
    <row r="42" spans="1:15" x14ac:dyDescent="0.25">
      <c r="A42" s="10">
        <v>9</v>
      </c>
      <c r="B42" s="6">
        <v>1</v>
      </c>
      <c r="C42">
        <v>1</v>
      </c>
      <c r="D42">
        <v>1</v>
      </c>
      <c r="E42">
        <v>1</v>
      </c>
      <c r="F42" s="7">
        <v>1</v>
      </c>
      <c r="G42" s="11">
        <f t="shared" si="5"/>
        <v>1</v>
      </c>
      <c r="I42" s="10">
        <v>9</v>
      </c>
      <c r="J42" s="6">
        <f t="shared" si="6"/>
        <v>1</v>
      </c>
      <c r="K42">
        <f t="shared" si="6"/>
        <v>1</v>
      </c>
      <c r="L42">
        <f t="shared" si="6"/>
        <v>1</v>
      </c>
      <c r="M42">
        <f t="shared" si="6"/>
        <v>1</v>
      </c>
      <c r="N42">
        <f t="shared" si="6"/>
        <v>1</v>
      </c>
      <c r="O42" s="11">
        <f t="shared" si="7"/>
        <v>1</v>
      </c>
    </row>
    <row r="43" spans="1:15" x14ac:dyDescent="0.25">
      <c r="A43" s="10">
        <v>10</v>
      </c>
      <c r="B43" s="6">
        <v>1.2</v>
      </c>
      <c r="C43">
        <v>1</v>
      </c>
      <c r="D43">
        <v>1</v>
      </c>
      <c r="E43">
        <v>1</v>
      </c>
      <c r="F43" s="7">
        <v>1.4</v>
      </c>
      <c r="G43" s="11">
        <f t="shared" si="5"/>
        <v>1.1199999999999999</v>
      </c>
      <c r="I43" s="10">
        <v>10</v>
      </c>
      <c r="J43" s="6">
        <f t="shared" si="6"/>
        <v>1</v>
      </c>
      <c r="K43">
        <f t="shared" si="6"/>
        <v>1</v>
      </c>
      <c r="L43">
        <f t="shared" si="6"/>
        <v>1</v>
      </c>
      <c r="M43">
        <f t="shared" si="6"/>
        <v>1</v>
      </c>
      <c r="N43">
        <f t="shared" si="6"/>
        <v>1</v>
      </c>
      <c r="O43" s="11">
        <f t="shared" si="7"/>
        <v>1</v>
      </c>
    </row>
    <row r="44" spans="1:15" x14ac:dyDescent="0.25">
      <c r="A44" s="10">
        <v>11</v>
      </c>
      <c r="B44" s="6">
        <v>1</v>
      </c>
      <c r="C44">
        <v>1</v>
      </c>
      <c r="D44">
        <v>1</v>
      </c>
      <c r="E44">
        <v>1</v>
      </c>
      <c r="F44" s="7">
        <v>1</v>
      </c>
      <c r="G44" s="11">
        <f t="shared" si="5"/>
        <v>1</v>
      </c>
      <c r="I44" s="10">
        <v>11</v>
      </c>
      <c r="J44" s="6">
        <f t="shared" si="6"/>
        <v>1</v>
      </c>
      <c r="K44">
        <f t="shared" si="6"/>
        <v>1</v>
      </c>
      <c r="L44">
        <f t="shared" si="6"/>
        <v>1</v>
      </c>
      <c r="M44">
        <f t="shared" si="6"/>
        <v>1</v>
      </c>
      <c r="N44">
        <f t="shared" si="6"/>
        <v>1</v>
      </c>
      <c r="O44" s="11">
        <f t="shared" si="7"/>
        <v>1</v>
      </c>
    </row>
    <row r="45" spans="1:15" x14ac:dyDescent="0.25">
      <c r="A45" s="10">
        <v>12</v>
      </c>
      <c r="B45" s="6">
        <v>1</v>
      </c>
      <c r="C45">
        <v>1</v>
      </c>
      <c r="D45">
        <v>1</v>
      </c>
      <c r="E45">
        <v>1</v>
      </c>
      <c r="F45" s="7">
        <v>1</v>
      </c>
      <c r="G45" s="11">
        <f t="shared" si="5"/>
        <v>1</v>
      </c>
      <c r="I45" s="10">
        <v>12</v>
      </c>
      <c r="J45" s="6">
        <f t="shared" si="6"/>
        <v>1</v>
      </c>
      <c r="K45">
        <f t="shared" si="6"/>
        <v>1</v>
      </c>
      <c r="L45">
        <f t="shared" si="6"/>
        <v>0</v>
      </c>
      <c r="M45">
        <f t="shared" si="6"/>
        <v>0</v>
      </c>
      <c r="N45">
        <f t="shared" si="6"/>
        <v>1</v>
      </c>
      <c r="O45" s="11">
        <f t="shared" si="7"/>
        <v>0.6</v>
      </c>
    </row>
    <row r="46" spans="1:15" x14ac:dyDescent="0.25">
      <c r="A46" s="10">
        <v>13</v>
      </c>
      <c r="B46" s="6">
        <v>1.3</v>
      </c>
      <c r="C46">
        <v>1</v>
      </c>
      <c r="D46">
        <v>1</v>
      </c>
      <c r="E46">
        <v>1</v>
      </c>
      <c r="F46" s="7">
        <v>1</v>
      </c>
      <c r="G46" s="11">
        <f t="shared" si="5"/>
        <v>1.06</v>
      </c>
      <c r="I46" s="10">
        <v>13</v>
      </c>
      <c r="J46" s="6">
        <f t="shared" si="6"/>
        <v>1</v>
      </c>
      <c r="K46">
        <f t="shared" si="6"/>
        <v>1</v>
      </c>
      <c r="L46">
        <f t="shared" si="6"/>
        <v>1</v>
      </c>
      <c r="M46">
        <f t="shared" si="6"/>
        <v>0</v>
      </c>
      <c r="N46">
        <f t="shared" si="6"/>
        <v>1</v>
      </c>
      <c r="O46" s="11">
        <f t="shared" si="7"/>
        <v>0.8</v>
      </c>
    </row>
    <row r="47" spans="1:15" x14ac:dyDescent="0.25">
      <c r="A47" s="10">
        <v>14</v>
      </c>
      <c r="B47" s="6">
        <v>1</v>
      </c>
      <c r="C47">
        <v>1</v>
      </c>
      <c r="D47">
        <v>1</v>
      </c>
      <c r="E47">
        <v>1</v>
      </c>
      <c r="F47" s="7">
        <v>1</v>
      </c>
      <c r="G47" s="11">
        <f t="shared" si="5"/>
        <v>1</v>
      </c>
      <c r="I47" s="10">
        <v>14</v>
      </c>
      <c r="J47" s="6">
        <f t="shared" si="6"/>
        <v>1</v>
      </c>
      <c r="K47">
        <f t="shared" si="6"/>
        <v>1</v>
      </c>
      <c r="L47">
        <f t="shared" si="6"/>
        <v>1</v>
      </c>
      <c r="M47">
        <f t="shared" si="6"/>
        <v>1</v>
      </c>
      <c r="N47">
        <f t="shared" si="6"/>
        <v>1</v>
      </c>
      <c r="O47" s="11">
        <f t="shared" si="7"/>
        <v>1</v>
      </c>
    </row>
    <row r="48" spans="1:15" x14ac:dyDescent="0.25">
      <c r="A48" s="10">
        <v>15</v>
      </c>
      <c r="B48" s="6">
        <v>1</v>
      </c>
      <c r="C48">
        <v>1</v>
      </c>
      <c r="D48">
        <v>1.2</v>
      </c>
      <c r="E48">
        <v>1</v>
      </c>
      <c r="F48" s="7">
        <v>1</v>
      </c>
      <c r="G48" s="11">
        <f t="shared" si="5"/>
        <v>1.04</v>
      </c>
      <c r="I48" s="10">
        <v>15</v>
      </c>
      <c r="J48" s="6">
        <f t="shared" si="6"/>
        <v>1</v>
      </c>
      <c r="K48">
        <f t="shared" si="6"/>
        <v>1</v>
      </c>
      <c r="L48">
        <f t="shared" si="6"/>
        <v>1</v>
      </c>
      <c r="M48">
        <f t="shared" si="6"/>
        <v>1</v>
      </c>
      <c r="N48">
        <f t="shared" si="6"/>
        <v>1</v>
      </c>
      <c r="O48" s="11">
        <f t="shared" si="7"/>
        <v>1</v>
      </c>
    </row>
    <row r="49" spans="1:15" x14ac:dyDescent="0.25">
      <c r="A49" s="10">
        <v>16</v>
      </c>
      <c r="B49" s="6">
        <v>1</v>
      </c>
      <c r="C49">
        <v>1</v>
      </c>
      <c r="D49">
        <v>1</v>
      </c>
      <c r="E49">
        <v>1</v>
      </c>
      <c r="F49" s="7">
        <v>1</v>
      </c>
      <c r="G49" s="11">
        <f t="shared" si="5"/>
        <v>1</v>
      </c>
      <c r="I49" s="10">
        <v>16</v>
      </c>
      <c r="J49" s="6">
        <f t="shared" si="6"/>
        <v>1</v>
      </c>
      <c r="K49">
        <f t="shared" si="6"/>
        <v>1</v>
      </c>
      <c r="L49">
        <f t="shared" si="6"/>
        <v>1</v>
      </c>
      <c r="M49">
        <f t="shared" si="6"/>
        <v>1</v>
      </c>
      <c r="N49">
        <f t="shared" si="6"/>
        <v>1</v>
      </c>
      <c r="O49" s="11">
        <f t="shared" si="7"/>
        <v>1</v>
      </c>
    </row>
    <row r="50" spans="1:15" x14ac:dyDescent="0.25">
      <c r="A50" s="10">
        <v>17</v>
      </c>
      <c r="B50" s="6">
        <v>1</v>
      </c>
      <c r="C50">
        <v>1</v>
      </c>
      <c r="D50">
        <v>1</v>
      </c>
      <c r="E50">
        <v>1</v>
      </c>
      <c r="F50" s="7">
        <v>1.7</v>
      </c>
      <c r="G50" s="11">
        <f t="shared" si="5"/>
        <v>1.1400000000000001</v>
      </c>
      <c r="I50" s="10">
        <v>17</v>
      </c>
      <c r="J50" s="6">
        <f t="shared" si="6"/>
        <v>1</v>
      </c>
      <c r="K50">
        <f t="shared" si="6"/>
        <v>1</v>
      </c>
      <c r="L50">
        <f t="shared" si="6"/>
        <v>1</v>
      </c>
      <c r="M50">
        <f t="shared" si="6"/>
        <v>1</v>
      </c>
      <c r="N50">
        <f t="shared" si="6"/>
        <v>1</v>
      </c>
      <c r="O50" s="11">
        <f t="shared" si="7"/>
        <v>1</v>
      </c>
    </row>
    <row r="51" spans="1:15" x14ac:dyDescent="0.25">
      <c r="A51" s="10">
        <v>18</v>
      </c>
      <c r="B51" s="6">
        <v>1</v>
      </c>
      <c r="C51">
        <v>1</v>
      </c>
      <c r="D51">
        <v>1.2</v>
      </c>
      <c r="E51">
        <v>1</v>
      </c>
      <c r="F51" s="7">
        <v>1</v>
      </c>
      <c r="G51" s="11">
        <f t="shared" si="5"/>
        <v>1.04</v>
      </c>
      <c r="I51" s="10">
        <v>18</v>
      </c>
      <c r="J51" s="6">
        <f t="shared" si="6"/>
        <v>1</v>
      </c>
      <c r="K51">
        <f t="shared" si="6"/>
        <v>1</v>
      </c>
      <c r="L51">
        <f t="shared" si="6"/>
        <v>1</v>
      </c>
      <c r="M51">
        <f t="shared" si="6"/>
        <v>1</v>
      </c>
      <c r="N51">
        <f t="shared" si="6"/>
        <v>1</v>
      </c>
      <c r="O51" s="11">
        <f t="shared" si="7"/>
        <v>1</v>
      </c>
    </row>
    <row r="52" spans="1:15" x14ac:dyDescent="0.25">
      <c r="A52" s="10">
        <v>19</v>
      </c>
      <c r="B52" s="6">
        <v>1</v>
      </c>
      <c r="C52">
        <v>1</v>
      </c>
      <c r="D52">
        <v>1.6</v>
      </c>
      <c r="E52">
        <v>1</v>
      </c>
      <c r="F52" s="7">
        <v>1</v>
      </c>
      <c r="G52" s="11">
        <f t="shared" si="5"/>
        <v>1.1199999999999999</v>
      </c>
      <c r="I52" s="10">
        <v>19</v>
      </c>
      <c r="J52" s="6">
        <f t="shared" si="6"/>
        <v>1</v>
      </c>
      <c r="K52">
        <f t="shared" si="6"/>
        <v>1</v>
      </c>
      <c r="L52">
        <f t="shared" si="6"/>
        <v>1</v>
      </c>
      <c r="M52">
        <f t="shared" si="6"/>
        <v>1</v>
      </c>
      <c r="N52">
        <f t="shared" si="6"/>
        <v>1</v>
      </c>
      <c r="O52" s="11">
        <f t="shared" si="7"/>
        <v>1</v>
      </c>
    </row>
    <row r="53" spans="1:15" ht="15.75" thickBot="1" x14ac:dyDescent="0.3">
      <c r="A53" s="10">
        <v>20</v>
      </c>
      <c r="B53" s="17">
        <v>1</v>
      </c>
      <c r="C53" s="18">
        <v>1</v>
      </c>
      <c r="D53" s="18">
        <v>1</v>
      </c>
      <c r="E53" s="18">
        <v>1</v>
      </c>
      <c r="F53" s="19">
        <v>1</v>
      </c>
      <c r="G53" s="11">
        <f t="shared" si="5"/>
        <v>1</v>
      </c>
      <c r="I53" s="10">
        <v>20</v>
      </c>
      <c r="J53" s="17">
        <f t="shared" si="6"/>
        <v>1</v>
      </c>
      <c r="K53" s="18">
        <f t="shared" si="6"/>
        <v>1</v>
      </c>
      <c r="L53" s="18">
        <f t="shared" si="6"/>
        <v>1</v>
      </c>
      <c r="M53" s="18">
        <f t="shared" si="6"/>
        <v>0</v>
      </c>
      <c r="N53" s="18">
        <f t="shared" si="6"/>
        <v>1</v>
      </c>
      <c r="O53" s="56">
        <f t="shared" si="7"/>
        <v>0.8</v>
      </c>
    </row>
    <row r="54" spans="1:15" ht="15.75" thickBot="1" x14ac:dyDescent="0.3">
      <c r="A54" s="25" t="s">
        <v>12</v>
      </c>
      <c r="B54" s="16">
        <f>MEDIAN(B34:B53)</f>
        <v>1</v>
      </c>
      <c r="C54" s="16">
        <f t="shared" ref="C54:F54" si="8">MEDIAN(C34:C53)</f>
        <v>1</v>
      </c>
      <c r="D54" s="16">
        <f t="shared" si="8"/>
        <v>1</v>
      </c>
      <c r="E54" s="16">
        <f t="shared" si="8"/>
        <v>1</v>
      </c>
      <c r="F54" s="16">
        <f t="shared" si="8"/>
        <v>1</v>
      </c>
      <c r="G54" s="21">
        <f>SUM(B54:F54)/5</f>
        <v>1</v>
      </c>
      <c r="I54" s="24" t="s">
        <v>6</v>
      </c>
      <c r="J54" s="13">
        <f>AVERAGE(J34:J53)</f>
        <v>1</v>
      </c>
      <c r="K54" s="13">
        <f t="shared" ref="K54:N54" si="9">AVERAGE(K34:K53)</f>
        <v>1</v>
      </c>
      <c r="L54" s="13">
        <f t="shared" si="9"/>
        <v>0.9</v>
      </c>
      <c r="M54" s="13">
        <f t="shared" si="9"/>
        <v>0.75</v>
      </c>
      <c r="N54" s="13">
        <f t="shared" si="9"/>
        <v>1</v>
      </c>
      <c r="O54" s="14">
        <f>AVERAGE(O34:O53)</f>
        <v>0.93</v>
      </c>
    </row>
    <row r="61" spans="1:15" x14ac:dyDescent="0.25">
      <c r="A61" t="s">
        <v>11</v>
      </c>
    </row>
    <row r="62" spans="1:15" ht="15.75" thickBot="1" x14ac:dyDescent="0.3">
      <c r="A62" t="s">
        <v>10</v>
      </c>
    </row>
    <row r="63" spans="1:15" ht="21" x14ac:dyDescent="0.35">
      <c r="A63" s="15" t="s">
        <v>19</v>
      </c>
      <c r="B63" s="8" t="s">
        <v>1</v>
      </c>
      <c r="C63" s="8" t="s">
        <v>2</v>
      </c>
      <c r="D63" s="8" t="s">
        <v>3</v>
      </c>
      <c r="E63" s="8" t="s">
        <v>4</v>
      </c>
      <c r="F63" s="8" t="s">
        <v>5</v>
      </c>
      <c r="G63" s="9" t="s">
        <v>6</v>
      </c>
    </row>
    <row r="64" spans="1:15" x14ac:dyDescent="0.25">
      <c r="A64" s="23">
        <v>1</v>
      </c>
      <c r="B64" s="3">
        <f>IF(B34&gt;$Q$4,1,0)</f>
        <v>0</v>
      </c>
      <c r="C64" s="4">
        <f t="shared" ref="C64:E64" si="10">IF(C34&gt;$Q$4,1,0)</f>
        <v>0</v>
      </c>
      <c r="D64" s="4">
        <f t="shared" si="10"/>
        <v>0</v>
      </c>
      <c r="E64" s="4">
        <f t="shared" si="10"/>
        <v>0</v>
      </c>
      <c r="F64" s="4">
        <f>IF(F34&gt;$Q$4,1,0)</f>
        <v>0</v>
      </c>
      <c r="G64" s="22">
        <f>(SUM(B64:F64)/5)*100</f>
        <v>0</v>
      </c>
    </row>
    <row r="65" spans="1:7" x14ac:dyDescent="0.25">
      <c r="A65" s="10">
        <v>2</v>
      </c>
      <c r="B65" s="6">
        <f>IF(B35&gt;$Q$4,1,0)</f>
        <v>0</v>
      </c>
      <c r="C65">
        <f t="shared" ref="C65:F65" si="11">IF(C35&gt;$Q$4,1,0)</f>
        <v>0</v>
      </c>
      <c r="D65">
        <f t="shared" si="11"/>
        <v>0</v>
      </c>
      <c r="E65">
        <f t="shared" si="11"/>
        <v>0</v>
      </c>
      <c r="F65">
        <f t="shared" si="11"/>
        <v>0</v>
      </c>
      <c r="G65" s="42">
        <f t="shared" ref="G65:G83" si="12">(SUM(B65:F65)/5)*100</f>
        <v>0</v>
      </c>
    </row>
    <row r="66" spans="1:7" x14ac:dyDescent="0.25">
      <c r="A66" s="10">
        <v>3</v>
      </c>
      <c r="B66" s="6">
        <f t="shared" ref="B66:F66" si="13">IF(B36&gt;$Q$4,1,0)</f>
        <v>0</v>
      </c>
      <c r="C66">
        <f t="shared" si="13"/>
        <v>0</v>
      </c>
      <c r="D66">
        <f t="shared" si="13"/>
        <v>0</v>
      </c>
      <c r="E66">
        <f t="shared" si="13"/>
        <v>0</v>
      </c>
      <c r="F66">
        <f t="shared" si="13"/>
        <v>0</v>
      </c>
      <c r="G66" s="42">
        <f t="shared" si="12"/>
        <v>0</v>
      </c>
    </row>
    <row r="67" spans="1:7" x14ac:dyDescent="0.25">
      <c r="A67" s="10">
        <v>4</v>
      </c>
      <c r="B67" s="6">
        <f t="shared" ref="B67:F67" si="14">IF(B37&gt;$Q$4,1,0)</f>
        <v>0</v>
      </c>
      <c r="C67">
        <f t="shared" si="14"/>
        <v>0</v>
      </c>
      <c r="D67">
        <f t="shared" si="14"/>
        <v>0</v>
      </c>
      <c r="E67">
        <f t="shared" si="14"/>
        <v>0</v>
      </c>
      <c r="F67">
        <f t="shared" si="14"/>
        <v>0</v>
      </c>
      <c r="G67" s="42">
        <f t="shared" si="12"/>
        <v>0</v>
      </c>
    </row>
    <row r="68" spans="1:7" x14ac:dyDescent="0.25">
      <c r="A68" s="10">
        <v>5</v>
      </c>
      <c r="B68" s="6">
        <f t="shared" ref="B68:F68" si="15">IF(B38&gt;$Q$4,1,0)</f>
        <v>0</v>
      </c>
      <c r="C68">
        <f t="shared" si="15"/>
        <v>0</v>
      </c>
      <c r="D68">
        <f t="shared" si="15"/>
        <v>0</v>
      </c>
      <c r="E68">
        <f t="shared" si="15"/>
        <v>0</v>
      </c>
      <c r="F68">
        <f t="shared" si="15"/>
        <v>0</v>
      </c>
      <c r="G68" s="42">
        <f t="shared" si="12"/>
        <v>0</v>
      </c>
    </row>
    <row r="69" spans="1:7" x14ac:dyDescent="0.25">
      <c r="A69" s="10">
        <v>6</v>
      </c>
      <c r="B69" s="6">
        <f t="shared" ref="B69:F69" si="16">IF(B39&gt;$Q$4,1,0)</f>
        <v>0</v>
      </c>
      <c r="C69">
        <f t="shared" si="16"/>
        <v>0</v>
      </c>
      <c r="D69">
        <f t="shared" si="16"/>
        <v>0</v>
      </c>
      <c r="E69">
        <f t="shared" si="16"/>
        <v>0</v>
      </c>
      <c r="F69">
        <f t="shared" si="16"/>
        <v>0</v>
      </c>
      <c r="G69" s="42">
        <f t="shared" si="12"/>
        <v>0</v>
      </c>
    </row>
    <row r="70" spans="1:7" x14ac:dyDescent="0.25">
      <c r="A70" s="10">
        <v>7</v>
      </c>
      <c r="B70" s="6">
        <f t="shared" ref="B70:F70" si="17">IF(B40&gt;$Q$4,1,0)</f>
        <v>0</v>
      </c>
      <c r="C70">
        <f t="shared" si="17"/>
        <v>0</v>
      </c>
      <c r="D70">
        <f t="shared" si="17"/>
        <v>0</v>
      </c>
      <c r="E70">
        <f t="shared" si="17"/>
        <v>0</v>
      </c>
      <c r="F70">
        <f t="shared" si="17"/>
        <v>0</v>
      </c>
      <c r="G70" s="42">
        <f t="shared" si="12"/>
        <v>0</v>
      </c>
    </row>
    <row r="71" spans="1:7" x14ac:dyDescent="0.25">
      <c r="A71" s="10">
        <v>8</v>
      </c>
      <c r="B71" s="6">
        <f t="shared" ref="B71:F71" si="18">IF(B41&gt;$Q$4,1,0)</f>
        <v>0</v>
      </c>
      <c r="C71">
        <f t="shared" si="18"/>
        <v>0</v>
      </c>
      <c r="D71">
        <f t="shared" si="18"/>
        <v>0</v>
      </c>
      <c r="E71">
        <f t="shared" si="18"/>
        <v>0</v>
      </c>
      <c r="F71">
        <f t="shared" si="18"/>
        <v>0</v>
      </c>
      <c r="G71" s="42">
        <f t="shared" si="12"/>
        <v>0</v>
      </c>
    </row>
    <row r="72" spans="1:7" x14ac:dyDescent="0.25">
      <c r="A72" s="10">
        <v>9</v>
      </c>
      <c r="B72" s="6">
        <f t="shared" ref="B72:F72" si="19">IF(B42&gt;$Q$4,1,0)</f>
        <v>0</v>
      </c>
      <c r="C72">
        <f t="shared" si="19"/>
        <v>0</v>
      </c>
      <c r="D72">
        <f t="shared" si="19"/>
        <v>0</v>
      </c>
      <c r="E72">
        <f t="shared" si="19"/>
        <v>0</v>
      </c>
      <c r="F72">
        <f t="shared" si="19"/>
        <v>0</v>
      </c>
      <c r="G72" s="42">
        <f t="shared" si="12"/>
        <v>0</v>
      </c>
    </row>
    <row r="73" spans="1:7" x14ac:dyDescent="0.25">
      <c r="A73" s="10">
        <v>10</v>
      </c>
      <c r="B73" s="6">
        <f t="shared" ref="B73:F73" si="20">IF(B43&gt;$Q$4,1,0)</f>
        <v>0</v>
      </c>
      <c r="C73">
        <f t="shared" si="20"/>
        <v>0</v>
      </c>
      <c r="D73">
        <f t="shared" si="20"/>
        <v>0</v>
      </c>
      <c r="E73">
        <f t="shared" si="20"/>
        <v>0</v>
      </c>
      <c r="F73">
        <f t="shared" si="20"/>
        <v>0</v>
      </c>
      <c r="G73" s="42">
        <f t="shared" si="12"/>
        <v>0</v>
      </c>
    </row>
    <row r="74" spans="1:7" x14ac:dyDescent="0.25">
      <c r="A74" s="10">
        <v>11</v>
      </c>
      <c r="B74" s="6">
        <f t="shared" ref="B74:F74" si="21">IF(B44&gt;$Q$4,1,0)</f>
        <v>0</v>
      </c>
      <c r="C74">
        <f t="shared" si="21"/>
        <v>0</v>
      </c>
      <c r="D74">
        <f t="shared" si="21"/>
        <v>0</v>
      </c>
      <c r="E74">
        <f t="shared" si="21"/>
        <v>0</v>
      </c>
      <c r="F74">
        <f t="shared" si="21"/>
        <v>0</v>
      </c>
      <c r="G74" s="42">
        <f t="shared" si="12"/>
        <v>0</v>
      </c>
    </row>
    <row r="75" spans="1:7" x14ac:dyDescent="0.25">
      <c r="A75" s="10">
        <v>12</v>
      </c>
      <c r="B75" s="6">
        <f t="shared" ref="B75:F75" si="22">IF(B45&gt;$Q$4,1,0)</f>
        <v>0</v>
      </c>
      <c r="C75">
        <f t="shared" si="22"/>
        <v>0</v>
      </c>
      <c r="D75">
        <f t="shared" si="22"/>
        <v>0</v>
      </c>
      <c r="E75">
        <f t="shared" si="22"/>
        <v>0</v>
      </c>
      <c r="F75">
        <f t="shared" si="22"/>
        <v>0</v>
      </c>
      <c r="G75" s="42">
        <f t="shared" si="12"/>
        <v>0</v>
      </c>
    </row>
    <row r="76" spans="1:7" x14ac:dyDescent="0.25">
      <c r="A76" s="10">
        <v>13</v>
      </c>
      <c r="B76" s="6">
        <f t="shared" ref="B76:F76" si="23">IF(B46&gt;$Q$4,1,0)</f>
        <v>0</v>
      </c>
      <c r="C76">
        <f t="shared" si="23"/>
        <v>0</v>
      </c>
      <c r="D76">
        <f t="shared" si="23"/>
        <v>0</v>
      </c>
      <c r="E76">
        <f t="shared" si="23"/>
        <v>0</v>
      </c>
      <c r="F76">
        <f t="shared" si="23"/>
        <v>0</v>
      </c>
      <c r="G76" s="42">
        <f t="shared" si="12"/>
        <v>0</v>
      </c>
    </row>
    <row r="77" spans="1:7" x14ac:dyDescent="0.25">
      <c r="A77" s="10">
        <v>14</v>
      </c>
      <c r="B77" s="6">
        <f t="shared" ref="B77:F77" si="24">IF(B47&gt;$Q$4,1,0)</f>
        <v>0</v>
      </c>
      <c r="C77">
        <f t="shared" si="24"/>
        <v>0</v>
      </c>
      <c r="D77">
        <f t="shared" si="24"/>
        <v>0</v>
      </c>
      <c r="E77">
        <f t="shared" si="24"/>
        <v>0</v>
      </c>
      <c r="F77">
        <f t="shared" si="24"/>
        <v>0</v>
      </c>
      <c r="G77" s="42">
        <f t="shared" si="12"/>
        <v>0</v>
      </c>
    </row>
    <row r="78" spans="1:7" x14ac:dyDescent="0.25">
      <c r="A78" s="10">
        <v>15</v>
      </c>
      <c r="B78" s="6">
        <f t="shared" ref="B78:F78" si="25">IF(B48&gt;$Q$4,1,0)</f>
        <v>0</v>
      </c>
      <c r="C78">
        <f t="shared" si="25"/>
        <v>0</v>
      </c>
      <c r="D78">
        <f t="shared" si="25"/>
        <v>0</v>
      </c>
      <c r="E78">
        <f t="shared" si="25"/>
        <v>0</v>
      </c>
      <c r="F78">
        <f t="shared" si="25"/>
        <v>0</v>
      </c>
      <c r="G78" s="42">
        <f t="shared" si="12"/>
        <v>0</v>
      </c>
    </row>
    <row r="79" spans="1:7" x14ac:dyDescent="0.25">
      <c r="A79" s="10">
        <v>16</v>
      </c>
      <c r="B79" s="6">
        <f t="shared" ref="B79:F79" si="26">IF(B49&gt;$Q$4,1,0)</f>
        <v>0</v>
      </c>
      <c r="C79">
        <f t="shared" si="26"/>
        <v>0</v>
      </c>
      <c r="D79">
        <f t="shared" si="26"/>
        <v>0</v>
      </c>
      <c r="E79">
        <f t="shared" si="26"/>
        <v>0</v>
      </c>
      <c r="F79">
        <f t="shared" si="26"/>
        <v>0</v>
      </c>
      <c r="G79" s="42">
        <f t="shared" si="12"/>
        <v>0</v>
      </c>
    </row>
    <row r="80" spans="1:7" x14ac:dyDescent="0.25">
      <c r="A80" s="10">
        <v>17</v>
      </c>
      <c r="B80" s="6">
        <f t="shared" ref="B80:F80" si="27">IF(B50&gt;$Q$4,1,0)</f>
        <v>0</v>
      </c>
      <c r="C80">
        <f t="shared" si="27"/>
        <v>0</v>
      </c>
      <c r="D80">
        <f t="shared" si="27"/>
        <v>0</v>
      </c>
      <c r="E80">
        <f t="shared" si="27"/>
        <v>0</v>
      </c>
      <c r="F80">
        <f t="shared" si="27"/>
        <v>0</v>
      </c>
      <c r="G80" s="42">
        <f t="shared" si="12"/>
        <v>0</v>
      </c>
    </row>
    <row r="81" spans="1:7" x14ac:dyDescent="0.25">
      <c r="A81" s="10">
        <v>18</v>
      </c>
      <c r="B81" s="6">
        <f t="shared" ref="B81:F81" si="28">IF(B51&gt;$Q$4,1,0)</f>
        <v>0</v>
      </c>
      <c r="C81">
        <f t="shared" si="28"/>
        <v>0</v>
      </c>
      <c r="D81">
        <f t="shared" si="28"/>
        <v>0</v>
      </c>
      <c r="E81">
        <f t="shared" si="28"/>
        <v>0</v>
      </c>
      <c r="F81">
        <f t="shared" si="28"/>
        <v>0</v>
      </c>
      <c r="G81" s="42">
        <f t="shared" si="12"/>
        <v>0</v>
      </c>
    </row>
    <row r="82" spans="1:7" x14ac:dyDescent="0.25">
      <c r="A82" s="10">
        <v>19</v>
      </c>
      <c r="B82" s="6">
        <f t="shared" ref="B82:F82" si="29">IF(B52&gt;$Q$4,1,0)</f>
        <v>0</v>
      </c>
      <c r="C82">
        <f t="shared" si="29"/>
        <v>0</v>
      </c>
      <c r="D82">
        <f t="shared" si="29"/>
        <v>0</v>
      </c>
      <c r="E82">
        <f t="shared" si="29"/>
        <v>0</v>
      </c>
      <c r="F82">
        <f t="shared" si="29"/>
        <v>0</v>
      </c>
      <c r="G82" s="42">
        <f t="shared" si="12"/>
        <v>0</v>
      </c>
    </row>
    <row r="83" spans="1:7" x14ac:dyDescent="0.25">
      <c r="A83" s="10">
        <v>20</v>
      </c>
      <c r="B83" s="6">
        <f>IF(B53&gt;$Q$4,1,0)</f>
        <v>0</v>
      </c>
      <c r="C83">
        <f t="shared" ref="C83:E83" si="30">IF(C53&gt;$Q$4,1,0)</f>
        <v>0</v>
      </c>
      <c r="D83">
        <f t="shared" si="30"/>
        <v>0</v>
      </c>
      <c r="E83">
        <f t="shared" si="30"/>
        <v>0</v>
      </c>
      <c r="F83">
        <f>IF(F53&gt;$Q$4,1,0)</f>
        <v>0</v>
      </c>
      <c r="G83" s="53">
        <f t="shared" si="12"/>
        <v>0</v>
      </c>
    </row>
    <row r="84" spans="1:7" ht="15.75" thickBot="1" x14ac:dyDescent="0.3">
      <c r="A84" s="24" t="s">
        <v>6</v>
      </c>
      <c r="B84" s="52">
        <f>AVERAGE(B64:B83)</f>
        <v>0</v>
      </c>
      <c r="C84" s="52">
        <f t="shared" ref="C84:F84" si="31">AVERAGE(C64:C83)</f>
        <v>0</v>
      </c>
      <c r="D84" s="52">
        <f t="shared" si="31"/>
        <v>0</v>
      </c>
      <c r="E84" s="52">
        <f t="shared" si="31"/>
        <v>0</v>
      </c>
      <c r="F84" s="52">
        <f t="shared" si="31"/>
        <v>0</v>
      </c>
      <c r="G84" s="14">
        <f>SUM(B84:F84)/5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2A7D7-C616-443F-8A52-61E2380728EA}">
  <dimension ref="A2:P57"/>
  <sheetViews>
    <sheetView topLeftCell="A30" workbookViewId="0">
      <selection activeCell="B57" sqref="B57"/>
    </sheetView>
  </sheetViews>
  <sheetFormatPr defaultRowHeight="15" x14ac:dyDescent="0.25"/>
  <cols>
    <col min="1" max="1" width="22.85546875" customWidth="1"/>
    <col min="2" max="2" width="13.85546875" customWidth="1"/>
    <col min="3" max="9" width="12.7109375" customWidth="1"/>
    <col min="10" max="10" width="22.85546875" customWidth="1"/>
    <col min="11" max="16" width="12.7109375" customWidth="1"/>
  </cols>
  <sheetData>
    <row r="2" spans="1:15" ht="15.75" thickBot="1" x14ac:dyDescent="0.3"/>
    <row r="3" spans="1:15" ht="21" x14ac:dyDescent="0.35">
      <c r="A3" s="15" t="s">
        <v>20</v>
      </c>
      <c r="B3" s="8" t="s">
        <v>1</v>
      </c>
      <c r="C3" s="8" t="s">
        <v>2</v>
      </c>
      <c r="D3" s="8" t="s">
        <v>3</v>
      </c>
      <c r="E3" s="8" t="s">
        <v>4</v>
      </c>
      <c r="F3" s="9" t="s">
        <v>5</v>
      </c>
      <c r="J3" s="15" t="s">
        <v>21</v>
      </c>
      <c r="K3" s="8" t="s">
        <v>1</v>
      </c>
      <c r="L3" s="8" t="s">
        <v>2</v>
      </c>
      <c r="M3" s="8" t="s">
        <v>3</v>
      </c>
      <c r="N3" s="8" t="s">
        <v>4</v>
      </c>
      <c r="O3" s="9" t="s">
        <v>5</v>
      </c>
    </row>
    <row r="4" spans="1:15" x14ac:dyDescent="0.25">
      <c r="A4" s="26">
        <v>1</v>
      </c>
      <c r="B4" s="27">
        <v>13.961544999999999</v>
      </c>
      <c r="C4" s="30">
        <v>34.879888999999999</v>
      </c>
      <c r="D4" s="30">
        <v>54.565485000000002</v>
      </c>
      <c r="E4" s="30">
        <v>24.586317999999999</v>
      </c>
      <c r="F4" s="36">
        <v>55.510421000000001</v>
      </c>
      <c r="J4" s="26">
        <v>1</v>
      </c>
      <c r="K4" s="3">
        <v>14</v>
      </c>
      <c r="L4" s="4">
        <v>36</v>
      </c>
      <c r="M4" s="4">
        <v>55</v>
      </c>
      <c r="N4" s="4">
        <v>25</v>
      </c>
      <c r="O4" s="20">
        <v>56</v>
      </c>
    </row>
    <row r="5" spans="1:15" x14ac:dyDescent="0.25">
      <c r="A5" s="10">
        <v>2</v>
      </c>
      <c r="B5" s="28">
        <v>53.889814000000001</v>
      </c>
      <c r="C5" s="31">
        <v>19.082574999999999</v>
      </c>
      <c r="D5" s="31">
        <v>52.417245000000001</v>
      </c>
      <c r="E5" s="31">
        <v>22.273349</v>
      </c>
      <c r="F5" s="37">
        <v>59.188178999999998</v>
      </c>
      <c r="J5" s="10">
        <v>2</v>
      </c>
      <c r="K5" s="6">
        <v>54</v>
      </c>
      <c r="L5">
        <v>26</v>
      </c>
      <c r="M5">
        <v>53</v>
      </c>
      <c r="N5">
        <v>23</v>
      </c>
      <c r="O5" s="11">
        <v>60</v>
      </c>
    </row>
    <row r="6" spans="1:15" x14ac:dyDescent="0.25">
      <c r="A6" s="10">
        <v>3</v>
      </c>
      <c r="B6" s="28">
        <v>1.8129759999999999</v>
      </c>
      <c r="C6" s="31">
        <v>43.425130000000003</v>
      </c>
      <c r="D6" s="31">
        <v>27.080027000000001</v>
      </c>
      <c r="E6" s="31">
        <v>59.940044999999998</v>
      </c>
      <c r="F6" s="37">
        <v>39.889878000000003</v>
      </c>
      <c r="J6" s="10">
        <v>3</v>
      </c>
      <c r="K6" s="6">
        <v>2</v>
      </c>
      <c r="L6">
        <v>44</v>
      </c>
      <c r="M6">
        <v>28</v>
      </c>
      <c r="N6">
        <v>61</v>
      </c>
      <c r="O6" s="11">
        <v>41</v>
      </c>
    </row>
    <row r="7" spans="1:15" x14ac:dyDescent="0.25">
      <c r="A7" s="10">
        <v>4</v>
      </c>
      <c r="B7" s="28">
        <v>3.9713720000000001</v>
      </c>
      <c r="C7" s="31">
        <v>40.824094000000002</v>
      </c>
      <c r="D7" s="31">
        <v>53.944325999999997</v>
      </c>
      <c r="E7" s="31">
        <v>36.370874999999998</v>
      </c>
      <c r="F7" s="37">
        <v>53.977415999999998</v>
      </c>
      <c r="J7" s="10">
        <v>4</v>
      </c>
      <c r="K7" s="6">
        <v>5</v>
      </c>
      <c r="L7">
        <v>42</v>
      </c>
      <c r="M7">
        <v>55</v>
      </c>
      <c r="N7">
        <v>37</v>
      </c>
      <c r="O7" s="11">
        <v>55</v>
      </c>
    </row>
    <row r="8" spans="1:15" x14ac:dyDescent="0.25">
      <c r="A8" s="10">
        <v>5</v>
      </c>
      <c r="B8" s="28">
        <v>34.156953000000001</v>
      </c>
      <c r="C8" s="31">
        <v>7.9450779999999996</v>
      </c>
      <c r="D8">
        <v>7.7382999999999993E-2</v>
      </c>
      <c r="E8" s="31">
        <v>28.965444999999999</v>
      </c>
      <c r="F8" s="11">
        <v>0.54940900000000004</v>
      </c>
      <c r="J8" s="10">
        <v>5</v>
      </c>
      <c r="K8" s="6">
        <v>35</v>
      </c>
      <c r="L8">
        <v>9</v>
      </c>
      <c r="M8">
        <v>1</v>
      </c>
      <c r="N8">
        <v>30</v>
      </c>
      <c r="O8" s="11">
        <v>1</v>
      </c>
    </row>
    <row r="9" spans="1:15" x14ac:dyDescent="0.25">
      <c r="A9" s="10">
        <v>6</v>
      </c>
      <c r="B9" s="28">
        <v>15.988104999999999</v>
      </c>
      <c r="C9" s="31">
        <v>54.128718999999997</v>
      </c>
      <c r="D9" s="31">
        <v>19.268898</v>
      </c>
      <c r="E9" s="31">
        <v>43.457414999999997</v>
      </c>
      <c r="F9" s="37">
        <v>35.349369000000003</v>
      </c>
      <c r="J9" s="10">
        <v>6</v>
      </c>
      <c r="K9" s="6">
        <v>17</v>
      </c>
      <c r="L9">
        <v>55</v>
      </c>
      <c r="M9">
        <v>20</v>
      </c>
      <c r="N9">
        <v>44</v>
      </c>
      <c r="O9" s="11">
        <v>36</v>
      </c>
    </row>
    <row r="10" spans="1:15" x14ac:dyDescent="0.25">
      <c r="A10" s="10">
        <v>7</v>
      </c>
      <c r="B10" s="28">
        <v>6.4967610000000002</v>
      </c>
      <c r="C10">
        <v>0.10222000000000001</v>
      </c>
      <c r="D10" s="31">
        <v>10.127971000000001</v>
      </c>
      <c r="E10" s="31">
        <v>24.638494000000001</v>
      </c>
      <c r="F10" s="37">
        <v>25.535851000000001</v>
      </c>
      <c r="J10" s="10">
        <v>7</v>
      </c>
      <c r="K10" s="6">
        <v>7</v>
      </c>
      <c r="L10">
        <v>1</v>
      </c>
      <c r="M10">
        <v>11</v>
      </c>
      <c r="N10">
        <v>25</v>
      </c>
      <c r="O10" s="11">
        <v>26</v>
      </c>
    </row>
    <row r="11" spans="1:15" x14ac:dyDescent="0.25">
      <c r="A11" s="10">
        <v>8</v>
      </c>
      <c r="B11" s="28">
        <v>16.689686999999999</v>
      </c>
      <c r="C11" s="31">
        <v>2.7895449999999999</v>
      </c>
      <c r="D11" s="31">
        <v>8.3520409999999998</v>
      </c>
      <c r="E11" s="31">
        <v>29.736384999999999</v>
      </c>
      <c r="F11" s="37">
        <v>21.611052000000001</v>
      </c>
      <c r="J11" s="10">
        <v>8</v>
      </c>
      <c r="K11" s="6">
        <v>17</v>
      </c>
      <c r="L11">
        <v>3</v>
      </c>
      <c r="M11">
        <v>9</v>
      </c>
      <c r="N11">
        <v>30</v>
      </c>
      <c r="O11" s="11">
        <v>22</v>
      </c>
    </row>
    <row r="12" spans="1:15" x14ac:dyDescent="0.25">
      <c r="A12" s="10">
        <v>9</v>
      </c>
      <c r="B12" s="28">
        <v>37.820734000000002</v>
      </c>
      <c r="C12" s="31">
        <v>32.311337999999999</v>
      </c>
      <c r="D12" s="31">
        <v>17.288253999999998</v>
      </c>
      <c r="E12" s="31">
        <v>25.479143000000001</v>
      </c>
      <c r="F12" s="37">
        <v>23.688237999999998</v>
      </c>
      <c r="J12" s="10">
        <v>9</v>
      </c>
      <c r="K12" s="6">
        <v>39</v>
      </c>
      <c r="L12">
        <v>33</v>
      </c>
      <c r="M12">
        <v>18</v>
      </c>
      <c r="N12">
        <v>26</v>
      </c>
      <c r="O12" s="11">
        <v>24</v>
      </c>
    </row>
    <row r="13" spans="1:15" ht="15.75" thickBot="1" x14ac:dyDescent="0.3">
      <c r="A13" s="12">
        <v>10</v>
      </c>
      <c r="B13" s="38">
        <v>45.140467999999998</v>
      </c>
      <c r="C13" s="39">
        <v>28.695906999999998</v>
      </c>
      <c r="D13" s="39">
        <v>51.729294000000003</v>
      </c>
      <c r="E13" s="39">
        <v>26.052385999999998</v>
      </c>
      <c r="F13" s="40">
        <v>34.594130999999997</v>
      </c>
      <c r="J13" s="12">
        <v>10</v>
      </c>
      <c r="K13" s="16">
        <v>46</v>
      </c>
      <c r="L13" s="13">
        <v>29</v>
      </c>
      <c r="M13" s="13">
        <v>52</v>
      </c>
      <c r="N13" s="13">
        <v>27</v>
      </c>
      <c r="O13" s="14">
        <v>35</v>
      </c>
    </row>
    <row r="22" spans="1:16" x14ac:dyDescent="0.25">
      <c r="J22" t="s">
        <v>11</v>
      </c>
    </row>
    <row r="23" spans="1:16" ht="15.75" thickBot="1" x14ac:dyDescent="0.3">
      <c r="A23" t="s">
        <v>23</v>
      </c>
      <c r="J23" t="s">
        <v>10</v>
      </c>
    </row>
    <row r="24" spans="1:16" ht="21" x14ac:dyDescent="0.35">
      <c r="A24" s="15" t="s">
        <v>41</v>
      </c>
      <c r="B24" s="8" t="s">
        <v>1</v>
      </c>
      <c r="C24" s="8" t="s">
        <v>2</v>
      </c>
      <c r="D24" s="8" t="s">
        <v>3</v>
      </c>
      <c r="E24" s="8" t="s">
        <v>4</v>
      </c>
      <c r="F24" s="8" t="s">
        <v>5</v>
      </c>
      <c r="G24" s="9" t="s">
        <v>6</v>
      </c>
      <c r="J24" s="15" t="s">
        <v>8</v>
      </c>
      <c r="K24" s="8" t="s">
        <v>1</v>
      </c>
      <c r="L24" s="8" t="s">
        <v>2</v>
      </c>
      <c r="M24" s="8" t="s">
        <v>3</v>
      </c>
      <c r="N24" s="8" t="s">
        <v>4</v>
      </c>
      <c r="O24" s="8" t="s">
        <v>5</v>
      </c>
      <c r="P24" s="9" t="s">
        <v>6</v>
      </c>
    </row>
    <row r="25" spans="1:16" x14ac:dyDescent="0.25">
      <c r="A25" s="26">
        <v>1</v>
      </c>
      <c r="B25" s="27">
        <f>(K4-B4)*1000000</f>
        <v>38455.000000000793</v>
      </c>
      <c r="C25" s="30">
        <f t="shared" ref="C25:F34" si="0">(L4-C4)*1000000</f>
        <v>1120111.0000000014</v>
      </c>
      <c r="D25" s="30">
        <f t="shared" si="0"/>
        <v>434514.99999999756</v>
      </c>
      <c r="E25" s="30">
        <f t="shared" si="0"/>
        <v>413682.00000000146</v>
      </c>
      <c r="F25" s="33">
        <f t="shared" si="0"/>
        <v>489578.99999999913</v>
      </c>
      <c r="G25" s="20">
        <f>SUM(B25:F25)/5</f>
        <v>499268.4</v>
      </c>
      <c r="J25" s="26">
        <v>1</v>
      </c>
      <c r="K25" s="3">
        <v>1</v>
      </c>
      <c r="L25" s="4">
        <v>1</v>
      </c>
      <c r="M25" s="4">
        <v>1</v>
      </c>
      <c r="N25" s="4">
        <v>1</v>
      </c>
      <c r="O25" s="5">
        <v>1</v>
      </c>
      <c r="P25" s="42">
        <f>MEDIAN(K25:O25)</f>
        <v>1</v>
      </c>
    </row>
    <row r="26" spans="1:16" x14ac:dyDescent="0.25">
      <c r="A26" s="10">
        <v>2</v>
      </c>
      <c r="B26" s="28">
        <f t="shared" ref="B26:B34" si="1">(K5-B5)*1000000</f>
        <v>110185.99999999878</v>
      </c>
      <c r="C26" s="31">
        <f t="shared" si="0"/>
        <v>6917425.0000000019</v>
      </c>
      <c r="D26" s="31">
        <f t="shared" si="0"/>
        <v>582754.99999999884</v>
      </c>
      <c r="E26" s="31">
        <f t="shared" si="0"/>
        <v>726651.00000000035</v>
      </c>
      <c r="F26" s="34">
        <f t="shared" si="0"/>
        <v>811821.00000000186</v>
      </c>
      <c r="G26" s="11">
        <f t="shared" ref="G26:G34" si="2">SUM(B26:F26)/5</f>
        <v>1829767.6000000003</v>
      </c>
      <c r="J26" s="10">
        <v>2</v>
      </c>
      <c r="K26" s="6">
        <v>1</v>
      </c>
      <c r="L26">
        <v>1</v>
      </c>
      <c r="M26">
        <v>1</v>
      </c>
      <c r="N26">
        <v>1</v>
      </c>
      <c r="O26" s="7">
        <v>1</v>
      </c>
      <c r="P26" s="42">
        <f t="shared" ref="P26:P34" si="3">MEDIAN(K26:O26)</f>
        <v>1</v>
      </c>
    </row>
    <row r="27" spans="1:16" x14ac:dyDescent="0.25">
      <c r="A27" s="10">
        <v>3</v>
      </c>
      <c r="B27" s="28">
        <f t="shared" si="1"/>
        <v>187024.00000000009</v>
      </c>
      <c r="C27" s="31">
        <f t="shared" si="0"/>
        <v>574869.99999999709</v>
      </c>
      <c r="D27" s="31">
        <f t="shared" si="0"/>
        <v>919972.99999999884</v>
      </c>
      <c r="E27" s="31">
        <f t="shared" si="0"/>
        <v>1059955.0000000021</v>
      </c>
      <c r="F27" s="34">
        <f t="shared" si="0"/>
        <v>1110121.999999997</v>
      </c>
      <c r="G27" s="11">
        <f t="shared" si="2"/>
        <v>770388.79999999912</v>
      </c>
      <c r="J27" s="10">
        <v>3</v>
      </c>
      <c r="K27" s="6">
        <v>1</v>
      </c>
      <c r="L27">
        <v>1</v>
      </c>
      <c r="M27">
        <v>1</v>
      </c>
      <c r="N27">
        <v>1</v>
      </c>
      <c r="O27" s="7">
        <v>1</v>
      </c>
      <c r="P27" s="42">
        <f t="shared" si="3"/>
        <v>1</v>
      </c>
    </row>
    <row r="28" spans="1:16" x14ac:dyDescent="0.25">
      <c r="A28" s="10">
        <v>4</v>
      </c>
      <c r="B28" s="28">
        <f t="shared" si="1"/>
        <v>1028627.9999999999</v>
      </c>
      <c r="C28" s="31">
        <f t="shared" si="0"/>
        <v>1175905.9999999977</v>
      </c>
      <c r="D28" s="31">
        <f t="shared" si="0"/>
        <v>1055674.0000000033</v>
      </c>
      <c r="E28" s="31">
        <f t="shared" si="0"/>
        <v>629125.00000000198</v>
      </c>
      <c r="F28" s="34">
        <f t="shared" si="0"/>
        <v>1022584.000000002</v>
      </c>
      <c r="G28" s="11">
        <f t="shared" si="2"/>
        <v>982383.40000000095</v>
      </c>
      <c r="J28" s="10">
        <v>4</v>
      </c>
      <c r="K28" s="6">
        <v>1</v>
      </c>
      <c r="L28">
        <v>1</v>
      </c>
      <c r="M28">
        <v>1</v>
      </c>
      <c r="N28">
        <v>1</v>
      </c>
      <c r="O28" s="7">
        <v>1</v>
      </c>
      <c r="P28" s="42">
        <f t="shared" si="3"/>
        <v>1</v>
      </c>
    </row>
    <row r="29" spans="1:16" x14ac:dyDescent="0.25">
      <c r="A29" s="10">
        <v>5</v>
      </c>
      <c r="B29" s="28">
        <f t="shared" si="1"/>
        <v>843046.9999999986</v>
      </c>
      <c r="C29" s="31">
        <f t="shared" si="0"/>
        <v>1054922.0000000005</v>
      </c>
      <c r="D29" s="31">
        <f t="shared" si="0"/>
        <v>922617</v>
      </c>
      <c r="E29" s="31">
        <f t="shared" si="0"/>
        <v>1034555.000000001</v>
      </c>
      <c r="F29" s="34">
        <f t="shared" si="0"/>
        <v>450590.99999999994</v>
      </c>
      <c r="G29" s="11">
        <f t="shared" si="2"/>
        <v>861146.4</v>
      </c>
      <c r="J29" s="10">
        <v>5</v>
      </c>
      <c r="K29" s="6">
        <v>1</v>
      </c>
      <c r="L29">
        <v>1</v>
      </c>
      <c r="M29">
        <v>1</v>
      </c>
      <c r="N29">
        <v>1</v>
      </c>
      <c r="O29" s="7">
        <v>1</v>
      </c>
      <c r="P29" s="42">
        <f t="shared" si="3"/>
        <v>1</v>
      </c>
    </row>
    <row r="30" spans="1:16" x14ac:dyDescent="0.25">
      <c r="A30" s="10">
        <v>6</v>
      </c>
      <c r="B30" s="28">
        <f t="shared" si="1"/>
        <v>1011895.0000000009</v>
      </c>
      <c r="C30" s="31">
        <f t="shared" si="0"/>
        <v>871281.00000000326</v>
      </c>
      <c r="D30" s="31">
        <f t="shared" si="0"/>
        <v>731101.99999999988</v>
      </c>
      <c r="E30" s="31">
        <f t="shared" si="0"/>
        <v>542585.00000000256</v>
      </c>
      <c r="F30" s="34">
        <f t="shared" si="0"/>
        <v>650630.99999999709</v>
      </c>
      <c r="G30" s="11">
        <f t="shared" si="2"/>
        <v>761498.80000000075</v>
      </c>
      <c r="J30" s="10">
        <v>6</v>
      </c>
      <c r="K30" s="6">
        <v>1</v>
      </c>
      <c r="L30">
        <v>1</v>
      </c>
      <c r="M30">
        <v>1</v>
      </c>
      <c r="N30">
        <v>1</v>
      </c>
      <c r="O30" s="7">
        <v>1</v>
      </c>
      <c r="P30" s="42">
        <f t="shared" si="3"/>
        <v>1</v>
      </c>
    </row>
    <row r="31" spans="1:16" x14ac:dyDescent="0.25">
      <c r="A31" s="10">
        <v>7</v>
      </c>
      <c r="B31" s="28">
        <f t="shared" si="1"/>
        <v>503238.99999999977</v>
      </c>
      <c r="C31" s="31">
        <f t="shared" si="0"/>
        <v>897780</v>
      </c>
      <c r="D31" s="31">
        <f t="shared" si="0"/>
        <v>872028.99999999953</v>
      </c>
      <c r="E31" s="31">
        <f t="shared" si="0"/>
        <v>361505.99999999854</v>
      </c>
      <c r="F31" s="34">
        <f t="shared" si="0"/>
        <v>464148.99999999901</v>
      </c>
      <c r="G31" s="11">
        <f t="shared" si="2"/>
        <v>619740.59999999939</v>
      </c>
      <c r="J31" s="10">
        <v>7</v>
      </c>
      <c r="K31" s="6">
        <v>1</v>
      </c>
      <c r="L31">
        <v>1</v>
      </c>
      <c r="M31">
        <v>1</v>
      </c>
      <c r="N31">
        <v>1</v>
      </c>
      <c r="O31" s="7">
        <v>1</v>
      </c>
      <c r="P31" s="42">
        <f t="shared" si="3"/>
        <v>1</v>
      </c>
    </row>
    <row r="32" spans="1:16" x14ac:dyDescent="0.25">
      <c r="A32" s="10">
        <v>8</v>
      </c>
      <c r="B32" s="28">
        <f t="shared" si="1"/>
        <v>310313.0000000007</v>
      </c>
      <c r="C32" s="31">
        <f t="shared" si="0"/>
        <v>210455.00000000006</v>
      </c>
      <c r="D32" s="31">
        <f t="shared" si="0"/>
        <v>647959.00000000012</v>
      </c>
      <c r="E32" s="31">
        <f t="shared" si="0"/>
        <v>263615.00000000151</v>
      </c>
      <c r="F32" s="34">
        <f t="shared" si="0"/>
        <v>388947.99999999919</v>
      </c>
      <c r="G32" s="11">
        <f t="shared" si="2"/>
        <v>364258.00000000029</v>
      </c>
      <c r="J32" s="10">
        <v>8</v>
      </c>
      <c r="K32" s="6">
        <v>1</v>
      </c>
      <c r="L32">
        <v>1</v>
      </c>
      <c r="M32">
        <v>1</v>
      </c>
      <c r="N32">
        <v>1</v>
      </c>
      <c r="O32" s="7">
        <v>1</v>
      </c>
      <c r="P32" s="42">
        <f t="shared" si="3"/>
        <v>1</v>
      </c>
    </row>
    <row r="33" spans="1:16" x14ac:dyDescent="0.25">
      <c r="A33" s="10">
        <v>9</v>
      </c>
      <c r="B33" s="28">
        <f t="shared" si="1"/>
        <v>1179265.9999999984</v>
      </c>
      <c r="C33" s="31">
        <f t="shared" si="0"/>
        <v>688662.00000000081</v>
      </c>
      <c r="D33" s="31">
        <f t="shared" si="0"/>
        <v>711746.00000000151</v>
      </c>
      <c r="E33" s="31">
        <f t="shared" si="0"/>
        <v>520856.99999999948</v>
      </c>
      <c r="F33" s="34">
        <f t="shared" si="0"/>
        <v>311762.00000000163</v>
      </c>
      <c r="G33" s="11">
        <f t="shared" si="2"/>
        <v>682458.60000000033</v>
      </c>
      <c r="J33" s="10">
        <v>9</v>
      </c>
      <c r="K33" s="6">
        <v>1</v>
      </c>
      <c r="L33">
        <v>1</v>
      </c>
      <c r="M33">
        <v>1</v>
      </c>
      <c r="N33">
        <v>1</v>
      </c>
      <c r="O33" s="7">
        <v>1</v>
      </c>
      <c r="P33" s="42">
        <f t="shared" si="3"/>
        <v>1</v>
      </c>
    </row>
    <row r="34" spans="1:16" ht="15.75" thickBot="1" x14ac:dyDescent="0.3">
      <c r="A34" s="10">
        <v>10</v>
      </c>
      <c r="B34" s="29">
        <f t="shared" si="1"/>
        <v>859532.00000000151</v>
      </c>
      <c r="C34" s="32">
        <f t="shared" si="0"/>
        <v>304093.00000000175</v>
      </c>
      <c r="D34" s="32">
        <f t="shared" si="0"/>
        <v>270705.99999999703</v>
      </c>
      <c r="E34" s="32">
        <f t="shared" si="0"/>
        <v>947614.00000000151</v>
      </c>
      <c r="F34" s="35">
        <f t="shared" si="0"/>
        <v>405869.00000000268</v>
      </c>
      <c r="G34" s="11">
        <f t="shared" si="2"/>
        <v>557562.80000000098</v>
      </c>
      <c r="J34" s="10">
        <v>10</v>
      </c>
      <c r="K34" s="17">
        <v>1</v>
      </c>
      <c r="L34" s="18">
        <v>1</v>
      </c>
      <c r="M34" s="18">
        <v>1</v>
      </c>
      <c r="N34" s="18">
        <v>1</v>
      </c>
      <c r="O34" s="19">
        <v>1</v>
      </c>
      <c r="P34" s="42">
        <f t="shared" si="3"/>
        <v>1</v>
      </c>
    </row>
    <row r="35" spans="1:16" ht="15.75" thickBot="1" x14ac:dyDescent="0.3">
      <c r="A35" s="24" t="s">
        <v>6</v>
      </c>
      <c r="B35" s="39">
        <f>MEDIAN(B25:B34)</f>
        <v>673142.99999999919</v>
      </c>
      <c r="C35" s="39">
        <f t="shared" ref="C35:F35" si="4">MEDIAN(C25:C34)</f>
        <v>884530.50000000163</v>
      </c>
      <c r="D35" s="39">
        <f t="shared" si="4"/>
        <v>721424.0000000007</v>
      </c>
      <c r="E35" s="39">
        <f t="shared" si="4"/>
        <v>585855.00000000233</v>
      </c>
      <c r="F35" s="39">
        <f t="shared" si="4"/>
        <v>476863.99999999907</v>
      </c>
      <c r="G35" s="21">
        <f>SUM(B35:F35)/5</f>
        <v>668363.30000000063</v>
      </c>
      <c r="J35" s="24" t="s">
        <v>6</v>
      </c>
      <c r="K35" s="13">
        <f>AVERAGE(K25:K34)</f>
        <v>1</v>
      </c>
      <c r="L35" s="13">
        <f t="shared" ref="L35:O35" si="5">AVERAGE(L25:L34)</f>
        <v>1</v>
      </c>
      <c r="M35" s="13">
        <f t="shared" si="5"/>
        <v>1</v>
      </c>
      <c r="N35" s="13">
        <f t="shared" si="5"/>
        <v>1</v>
      </c>
      <c r="O35" s="13">
        <f t="shared" si="5"/>
        <v>1</v>
      </c>
      <c r="P35" s="41">
        <f>SUM(K35:O35)/5</f>
        <v>1</v>
      </c>
    </row>
    <row r="44" spans="1:16" x14ac:dyDescent="0.25">
      <c r="A44" t="s">
        <v>11</v>
      </c>
    </row>
    <row r="45" spans="1:16" ht="15.75" thickBot="1" x14ac:dyDescent="0.3">
      <c r="A45" t="s">
        <v>10</v>
      </c>
    </row>
    <row r="46" spans="1:16" ht="21" x14ac:dyDescent="0.35">
      <c r="A46" s="15" t="s">
        <v>22</v>
      </c>
      <c r="B46" s="8" t="s">
        <v>1</v>
      </c>
      <c r="C46" s="8" t="s">
        <v>2</v>
      </c>
      <c r="D46" s="8" t="s">
        <v>3</v>
      </c>
      <c r="E46" s="8" t="s">
        <v>4</v>
      </c>
      <c r="F46" s="8" t="s">
        <v>5</v>
      </c>
      <c r="G46" s="9" t="s">
        <v>6</v>
      </c>
    </row>
    <row r="47" spans="1:16" x14ac:dyDescent="0.25">
      <c r="A47" s="26">
        <v>1</v>
      </c>
      <c r="B47" s="3">
        <v>0</v>
      </c>
      <c r="C47" s="4">
        <v>0</v>
      </c>
      <c r="D47" s="4">
        <v>0</v>
      </c>
      <c r="E47" s="4">
        <v>0</v>
      </c>
      <c r="F47" s="5">
        <v>0</v>
      </c>
      <c r="G47" s="11">
        <f>(SUM(B47:F47)/5)*100</f>
        <v>0</v>
      </c>
    </row>
    <row r="48" spans="1:16" x14ac:dyDescent="0.25">
      <c r="A48" s="10">
        <v>2</v>
      </c>
      <c r="B48" s="6">
        <v>0</v>
      </c>
      <c r="C48">
        <v>0</v>
      </c>
      <c r="D48">
        <v>0</v>
      </c>
      <c r="E48">
        <v>0</v>
      </c>
      <c r="F48" s="7">
        <v>0</v>
      </c>
      <c r="G48" s="11">
        <f t="shared" ref="G48:G56" si="6">(SUM(B48:F48)/5)*100</f>
        <v>0</v>
      </c>
    </row>
    <row r="49" spans="1:7" x14ac:dyDescent="0.25">
      <c r="A49" s="10">
        <v>3</v>
      </c>
      <c r="B49" s="6">
        <v>0</v>
      </c>
      <c r="C49">
        <v>0</v>
      </c>
      <c r="D49">
        <v>0</v>
      </c>
      <c r="E49">
        <v>0</v>
      </c>
      <c r="F49" s="7">
        <v>0</v>
      </c>
      <c r="G49" s="11">
        <f t="shared" si="6"/>
        <v>0</v>
      </c>
    </row>
    <row r="50" spans="1:7" x14ac:dyDescent="0.25">
      <c r="A50" s="10">
        <v>4</v>
      </c>
      <c r="B50" s="6">
        <v>0</v>
      </c>
      <c r="C50">
        <v>0</v>
      </c>
      <c r="D50">
        <v>0</v>
      </c>
      <c r="E50">
        <v>0</v>
      </c>
      <c r="F50" s="7">
        <v>0</v>
      </c>
      <c r="G50" s="11">
        <f t="shared" si="6"/>
        <v>0</v>
      </c>
    </row>
    <row r="51" spans="1:7" x14ac:dyDescent="0.25">
      <c r="A51" s="10">
        <v>5</v>
      </c>
      <c r="B51" s="6">
        <v>0</v>
      </c>
      <c r="C51">
        <v>0</v>
      </c>
      <c r="D51">
        <v>0</v>
      </c>
      <c r="E51">
        <v>0</v>
      </c>
      <c r="F51" s="7">
        <v>0</v>
      </c>
      <c r="G51" s="11">
        <f t="shared" si="6"/>
        <v>0</v>
      </c>
    </row>
    <row r="52" spans="1:7" x14ac:dyDescent="0.25">
      <c r="A52" s="10">
        <v>6</v>
      </c>
      <c r="B52" s="6">
        <v>0</v>
      </c>
      <c r="C52">
        <v>0</v>
      </c>
      <c r="D52">
        <v>0</v>
      </c>
      <c r="E52">
        <v>0</v>
      </c>
      <c r="F52" s="7">
        <v>0</v>
      </c>
      <c r="G52" s="11">
        <f t="shared" si="6"/>
        <v>0</v>
      </c>
    </row>
    <row r="53" spans="1:7" x14ac:dyDescent="0.25">
      <c r="A53" s="10">
        <v>7</v>
      </c>
      <c r="B53" s="6">
        <v>0</v>
      </c>
      <c r="C53">
        <v>0</v>
      </c>
      <c r="D53">
        <v>0</v>
      </c>
      <c r="E53">
        <v>0</v>
      </c>
      <c r="F53" s="7">
        <v>0</v>
      </c>
      <c r="G53" s="11">
        <f t="shared" si="6"/>
        <v>0</v>
      </c>
    </row>
    <row r="54" spans="1:7" x14ac:dyDescent="0.25">
      <c r="A54" s="10">
        <v>8</v>
      </c>
      <c r="B54" s="6">
        <v>0</v>
      </c>
      <c r="C54">
        <v>0</v>
      </c>
      <c r="D54">
        <v>0</v>
      </c>
      <c r="E54">
        <v>0</v>
      </c>
      <c r="F54" s="7">
        <v>0</v>
      </c>
      <c r="G54" s="11">
        <f t="shared" si="6"/>
        <v>0</v>
      </c>
    </row>
    <row r="55" spans="1:7" x14ac:dyDescent="0.25">
      <c r="A55" s="10">
        <v>9</v>
      </c>
      <c r="B55" s="6">
        <v>0</v>
      </c>
      <c r="C55">
        <v>0</v>
      </c>
      <c r="D55">
        <v>0</v>
      </c>
      <c r="E55">
        <v>0</v>
      </c>
      <c r="F55" s="7">
        <v>0</v>
      </c>
      <c r="G55" s="11">
        <f t="shared" si="6"/>
        <v>0</v>
      </c>
    </row>
    <row r="56" spans="1:7" ht="15.75" thickBot="1" x14ac:dyDescent="0.3">
      <c r="A56" s="10">
        <v>10</v>
      </c>
      <c r="B56" s="17">
        <v>0</v>
      </c>
      <c r="C56" s="18">
        <v>0</v>
      </c>
      <c r="D56" s="18">
        <v>0</v>
      </c>
      <c r="E56" s="18">
        <v>0</v>
      </c>
      <c r="F56" s="19">
        <v>0</v>
      </c>
      <c r="G56" s="11">
        <f t="shared" si="6"/>
        <v>0</v>
      </c>
    </row>
    <row r="57" spans="1:7" ht="15.75" thickBot="1" x14ac:dyDescent="0.3">
      <c r="A57" s="24" t="s">
        <v>6</v>
      </c>
      <c r="B57" s="13">
        <f>AVERAGE(B47:B56)</f>
        <v>0</v>
      </c>
      <c r="C57" s="13">
        <f>AVERAGE(C47:C56)</f>
        <v>0</v>
      </c>
      <c r="D57" s="13">
        <f t="shared" ref="D57:F57" si="7">AVERAGE(D47:D56)</f>
        <v>0</v>
      </c>
      <c r="E57" s="13">
        <f t="shared" si="7"/>
        <v>0</v>
      </c>
      <c r="F57" s="13">
        <f t="shared" si="7"/>
        <v>0</v>
      </c>
      <c r="G57" s="21">
        <f>SUM(B57:F57)/5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B5131-0C00-4E21-B5AA-0920C322B03E}">
  <dimension ref="A1:H23"/>
  <sheetViews>
    <sheetView tabSelected="1" zoomScale="145" zoomScaleNormal="145" workbookViewId="0">
      <selection activeCell="M17" sqref="M17"/>
    </sheetView>
  </sheetViews>
  <sheetFormatPr defaultRowHeight="15" x14ac:dyDescent="0.25"/>
  <cols>
    <col min="1" max="1" width="11.5703125" customWidth="1"/>
    <col min="2" max="2" width="13.5703125" customWidth="1"/>
    <col min="3" max="3" width="12.5703125" customWidth="1"/>
    <col min="4" max="4" width="12.85546875" customWidth="1"/>
    <col min="6" max="6" width="10.140625" bestFit="1" customWidth="1"/>
    <col min="7" max="7" width="13.7109375" customWidth="1"/>
    <col min="8" max="8" width="13.5703125" customWidth="1"/>
  </cols>
  <sheetData>
    <row r="1" spans="1:8" ht="15.75" thickBot="1" x14ac:dyDescent="0.3"/>
    <row r="2" spans="1:8" ht="15.75" thickBot="1" x14ac:dyDescent="0.3">
      <c r="A2" s="43"/>
      <c r="B2" s="59" t="s">
        <v>41</v>
      </c>
      <c r="C2" s="21" t="s">
        <v>29</v>
      </c>
      <c r="D2" s="54" t="s">
        <v>42</v>
      </c>
    </row>
    <row r="3" spans="1:8" ht="15.75" thickBot="1" x14ac:dyDescent="0.3">
      <c r="A3" s="57" t="s">
        <v>30</v>
      </c>
      <c r="B3" s="57">
        <f>0.2</f>
        <v>0.2</v>
      </c>
      <c r="C3" s="58">
        <f>0.3</f>
        <v>0.3</v>
      </c>
      <c r="D3" s="54">
        <f>0.5</f>
        <v>0.5</v>
      </c>
    </row>
    <row r="4" spans="1:8" x14ac:dyDescent="0.25">
      <c r="F4" t="s">
        <v>45</v>
      </c>
    </row>
    <row r="5" spans="1:8" ht="15.75" thickBot="1" x14ac:dyDescent="0.3">
      <c r="F5" t="s">
        <v>46</v>
      </c>
    </row>
    <row r="6" spans="1:8" x14ac:dyDescent="0.25">
      <c r="A6" s="43" t="s">
        <v>41</v>
      </c>
      <c r="B6" s="8" t="s">
        <v>25</v>
      </c>
      <c r="C6" s="8" t="s">
        <v>40</v>
      </c>
      <c r="D6" s="9" t="s">
        <v>43</v>
      </c>
      <c r="F6" s="43" t="s">
        <v>24</v>
      </c>
      <c r="G6" s="8" t="s">
        <v>44</v>
      </c>
      <c r="H6" s="9" t="s">
        <v>47</v>
      </c>
    </row>
    <row r="7" spans="1:8" x14ac:dyDescent="0.25">
      <c r="A7" s="10" t="s">
        <v>26</v>
      </c>
      <c r="B7" s="3">
        <f>MAX('ARP detection method'!B24:F24)</f>
        <v>2019138950</v>
      </c>
      <c r="C7" s="4">
        <f>MIN('ARP detection method'!B24:F24)</f>
        <v>2014137300</v>
      </c>
      <c r="D7" s="20">
        <f>('ARP detection method'!G24-effectiviteit!C7)/(effectiviteit!B7-effectiviteit!C7)</f>
        <v>0.38889566443073786</v>
      </c>
      <c r="F7" s="10" t="s">
        <v>26</v>
      </c>
      <c r="G7" s="3">
        <f>D7*$B$3+D14*$C$3+D21*$D$3</f>
        <v>0.87777913288614751</v>
      </c>
      <c r="H7" s="20">
        <f>G7*100</f>
        <v>87.777913288614755</v>
      </c>
    </row>
    <row r="8" spans="1:8" x14ac:dyDescent="0.25">
      <c r="A8" s="10" t="s">
        <v>27</v>
      </c>
      <c r="B8" s="6">
        <f>MAX('Laytency detection method'!B24:F24)</f>
        <v>168217180</v>
      </c>
      <c r="C8">
        <f>MIN('Laytency detection method'!B24:F24)</f>
        <v>136369300</v>
      </c>
      <c r="D8" s="11">
        <f>('Laytency detection method'!G24-effectiviteit!C8)/(effectiviteit!B8-effectiviteit!C8)</f>
        <v>0.59021664864348899</v>
      </c>
      <c r="F8" s="10" t="s">
        <v>27</v>
      </c>
      <c r="G8" s="6">
        <f t="shared" ref="G8:G9" si="0">D8*$B$3+D15*$C$3+D22*$D$3</f>
        <v>0.77804332972869794</v>
      </c>
      <c r="H8" s="11">
        <f t="shared" ref="H8:H9" si="1">G8*100</f>
        <v>77.804332972869787</v>
      </c>
    </row>
    <row r="9" spans="1:8" ht="15.75" thickBot="1" x14ac:dyDescent="0.3">
      <c r="A9" s="12" t="s">
        <v>28</v>
      </c>
      <c r="B9" s="38">
        <f>MAX('ARPWatch detection method'!B35:F35)</f>
        <v>884530.50000000163</v>
      </c>
      <c r="C9" s="39">
        <f>MIN('ARPWatch detection method'!B35:F35)</f>
        <v>476863.99999999907</v>
      </c>
      <c r="D9" s="14">
        <f>('ARPWatch detection method'!G35-effectiviteit!C9)/(effectiviteit!B9-effectiviteit!C9)</f>
        <v>0.46974499989574897</v>
      </c>
      <c r="F9" s="12" t="s">
        <v>28</v>
      </c>
      <c r="G9" s="16">
        <f t="shared" si="0"/>
        <v>0.89394899997914978</v>
      </c>
      <c r="H9" s="14">
        <f t="shared" si="1"/>
        <v>89.394899997914976</v>
      </c>
    </row>
    <row r="12" spans="1:8" ht="15.75" thickBot="1" x14ac:dyDescent="0.3"/>
    <row r="13" spans="1:8" x14ac:dyDescent="0.25">
      <c r="A13" s="43" t="s">
        <v>22</v>
      </c>
      <c r="B13" s="8" t="s">
        <v>25</v>
      </c>
      <c r="C13" s="8" t="s">
        <v>40</v>
      </c>
      <c r="D13" s="9" t="s">
        <v>43</v>
      </c>
    </row>
    <row r="14" spans="1:8" x14ac:dyDescent="0.25">
      <c r="A14" s="10" t="s">
        <v>26</v>
      </c>
      <c r="B14" s="3">
        <f>MAX('ARP detection method'!B50:F50)</f>
        <v>0</v>
      </c>
      <c r="C14" s="4">
        <f>MIN('ARP detection method'!B50:F50)</f>
        <v>0</v>
      </c>
      <c r="D14" s="20">
        <f>IF((effectiviteit!B14-effectiviteit!C14)=0,1,('ARP detection method'!G50-C14)/(B14-C14))</f>
        <v>1</v>
      </c>
    </row>
    <row r="15" spans="1:8" x14ac:dyDescent="0.25">
      <c r="A15" s="10" t="s">
        <v>27</v>
      </c>
      <c r="B15" s="6">
        <f>MAX('Laytency detection method'!B84:F84)</f>
        <v>0</v>
      </c>
      <c r="C15">
        <f>MIN('Laytency detection method'!B84:F84)</f>
        <v>0</v>
      </c>
      <c r="D15" s="11">
        <f>IF((effectiviteit!B15-effectiviteit!C15)=0,1,('ARP detection method'!G51-C15)/(B15-C15))</f>
        <v>1</v>
      </c>
    </row>
    <row r="16" spans="1:8" ht="15.75" thickBot="1" x14ac:dyDescent="0.3">
      <c r="A16" s="12" t="s">
        <v>28</v>
      </c>
      <c r="B16" s="16">
        <f>MAX('ARPWatch detection method'!B57:F57)</f>
        <v>0</v>
      </c>
      <c r="C16" s="13">
        <f>MIN('ARPWatch detection method'!B57:F57)</f>
        <v>0</v>
      </c>
      <c r="D16" s="14">
        <f>IF((effectiviteit!B16-effectiviteit!C16)=0,1,('ARP detection method'!G52-C16)/(B16-C16))</f>
        <v>1</v>
      </c>
    </row>
    <row r="19" spans="1:4" ht="15.75" thickBot="1" x14ac:dyDescent="0.3"/>
    <row r="20" spans="1:4" x14ac:dyDescent="0.25">
      <c r="A20" s="43" t="s">
        <v>42</v>
      </c>
      <c r="B20" s="8" t="s">
        <v>25</v>
      </c>
      <c r="C20" s="8" t="s">
        <v>40</v>
      </c>
      <c r="D20" s="9" t="s">
        <v>43</v>
      </c>
    </row>
    <row r="21" spans="1:4" x14ac:dyDescent="0.25">
      <c r="A21" s="10" t="s">
        <v>26</v>
      </c>
      <c r="B21" s="3">
        <f>MAX('ARP detection method'!J24:N24)</f>
        <v>1</v>
      </c>
      <c r="C21" s="4">
        <f>MIN('ARP detection method'!J24:N24)</f>
        <v>1</v>
      </c>
      <c r="D21" s="20">
        <f>IF((effectiviteit!B21-effectiviteit!C21)=0,1,('ARP detection method'!O24-C21)/(B21-C21))</f>
        <v>1</v>
      </c>
    </row>
    <row r="22" spans="1:4" x14ac:dyDescent="0.25">
      <c r="A22" s="10" t="s">
        <v>27</v>
      </c>
      <c r="B22" s="6">
        <f>MAX('Laytency detection method'!J54:N54)</f>
        <v>1</v>
      </c>
      <c r="C22">
        <f>MIN('Laytency detection method'!J54:N54)</f>
        <v>0.75</v>
      </c>
      <c r="D22" s="11">
        <f>IF((effectiviteit!B22-effectiviteit!C22)=0,1,('Laytency detection method'!O54-C22)/(B22-C22))</f>
        <v>0.7200000000000002</v>
      </c>
    </row>
    <row r="23" spans="1:4" ht="15.75" thickBot="1" x14ac:dyDescent="0.3">
      <c r="A23" s="12" t="s">
        <v>28</v>
      </c>
      <c r="B23" s="16">
        <f>MAX('ARPWatch detection method'!K35:O35)</f>
        <v>1</v>
      </c>
      <c r="C23" s="13">
        <f>MIN('ARPWatch detection method'!K35:O35)</f>
        <v>1</v>
      </c>
      <c r="D23" s="14">
        <f>IF((effectiviteit!B23-effectiviteit!C23)=0,1,('ARPWatch detection method'!P35-C23)/(B23-C23))</f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F4665-5F1F-417F-8B2D-20A31A2F3D78}">
  <dimension ref="A1:U74"/>
  <sheetViews>
    <sheetView topLeftCell="A47" zoomScaleNormal="100" workbookViewId="0">
      <selection activeCell="G48" sqref="G48"/>
    </sheetView>
  </sheetViews>
  <sheetFormatPr defaultRowHeight="15" x14ac:dyDescent="0.25"/>
  <cols>
    <col min="1" max="1" width="15.140625" customWidth="1"/>
    <col min="6" max="6" width="12.85546875" customWidth="1"/>
    <col min="9" max="9" width="15.85546875" customWidth="1"/>
  </cols>
  <sheetData>
    <row r="1" spans="1:19" x14ac:dyDescent="0.25">
      <c r="A1" t="s">
        <v>32</v>
      </c>
      <c r="E1" t="s">
        <v>2</v>
      </c>
      <c r="I1" t="s">
        <v>3</v>
      </c>
      <c r="M1" t="s">
        <v>4</v>
      </c>
      <c r="Q1" t="s">
        <v>5</v>
      </c>
    </row>
    <row r="3" spans="1:19" x14ac:dyDescent="0.25">
      <c r="A3" t="s">
        <v>31</v>
      </c>
      <c r="E3" t="s">
        <v>31</v>
      </c>
      <c r="I3" t="s">
        <v>31</v>
      </c>
      <c r="M3" t="s">
        <v>31</v>
      </c>
      <c r="Q3" t="s">
        <v>34</v>
      </c>
      <c r="R3" t="s">
        <v>35</v>
      </c>
      <c r="S3" t="s">
        <v>36</v>
      </c>
    </row>
    <row r="4" spans="1:19" x14ac:dyDescent="0.25">
      <c r="A4">
        <v>1</v>
      </c>
      <c r="B4">
        <v>0</v>
      </c>
      <c r="C4">
        <v>48</v>
      </c>
      <c r="E4">
        <v>1</v>
      </c>
      <c r="F4">
        <v>0</v>
      </c>
      <c r="G4">
        <v>48</v>
      </c>
      <c r="I4">
        <v>1</v>
      </c>
      <c r="J4">
        <v>0</v>
      </c>
      <c r="K4">
        <v>48</v>
      </c>
      <c r="M4">
        <v>1</v>
      </c>
      <c r="N4">
        <v>0</v>
      </c>
      <c r="O4">
        <v>42</v>
      </c>
      <c r="Q4">
        <v>1</v>
      </c>
      <c r="R4">
        <v>0</v>
      </c>
      <c r="S4">
        <v>48</v>
      </c>
    </row>
    <row r="5" spans="1:19" x14ac:dyDescent="0.25">
      <c r="A5">
        <v>1</v>
      </c>
      <c r="B5">
        <v>0</v>
      </c>
      <c r="C5">
        <v>54</v>
      </c>
      <c r="E5">
        <v>1</v>
      </c>
      <c r="F5">
        <v>0</v>
      </c>
      <c r="G5">
        <v>54</v>
      </c>
      <c r="I5">
        <v>1</v>
      </c>
      <c r="J5">
        <v>0</v>
      </c>
      <c r="K5">
        <v>48</v>
      </c>
      <c r="M5">
        <v>1</v>
      </c>
      <c r="N5">
        <v>0</v>
      </c>
      <c r="O5">
        <v>54</v>
      </c>
      <c r="Q5">
        <v>1</v>
      </c>
      <c r="R5">
        <v>0</v>
      </c>
      <c r="S5">
        <v>48</v>
      </c>
    </row>
    <row r="6" spans="1:19" x14ac:dyDescent="0.25">
      <c r="A6">
        <v>1</v>
      </c>
      <c r="B6">
        <v>0</v>
      </c>
      <c r="C6">
        <v>48</v>
      </c>
      <c r="E6">
        <v>1</v>
      </c>
      <c r="F6">
        <v>0</v>
      </c>
      <c r="G6">
        <v>42</v>
      </c>
      <c r="I6">
        <v>1</v>
      </c>
      <c r="J6">
        <v>0</v>
      </c>
      <c r="K6">
        <v>54</v>
      </c>
      <c r="M6">
        <v>1</v>
      </c>
      <c r="N6">
        <v>0</v>
      </c>
      <c r="O6">
        <v>48</v>
      </c>
      <c r="Q6">
        <v>1</v>
      </c>
      <c r="R6">
        <v>0</v>
      </c>
      <c r="S6">
        <v>48</v>
      </c>
    </row>
    <row r="7" spans="1:19" x14ac:dyDescent="0.25">
      <c r="A7">
        <v>1</v>
      </c>
      <c r="B7">
        <v>0</v>
      </c>
      <c r="C7">
        <v>48</v>
      </c>
      <c r="E7">
        <v>1</v>
      </c>
      <c r="F7">
        <v>0</v>
      </c>
      <c r="G7">
        <v>48</v>
      </c>
      <c r="I7">
        <v>1</v>
      </c>
      <c r="J7">
        <v>0</v>
      </c>
      <c r="K7">
        <v>48</v>
      </c>
      <c r="M7">
        <v>1</v>
      </c>
      <c r="N7">
        <v>0</v>
      </c>
      <c r="O7">
        <v>54</v>
      </c>
      <c r="Q7">
        <v>1</v>
      </c>
      <c r="R7">
        <v>0</v>
      </c>
      <c r="S7">
        <v>42</v>
      </c>
    </row>
    <row r="8" spans="1:19" x14ac:dyDescent="0.25">
      <c r="A8">
        <v>1</v>
      </c>
      <c r="B8">
        <v>0</v>
      </c>
      <c r="C8">
        <v>48</v>
      </c>
      <c r="E8">
        <v>1</v>
      </c>
      <c r="F8">
        <v>0</v>
      </c>
      <c r="G8">
        <v>48</v>
      </c>
      <c r="I8">
        <v>1</v>
      </c>
      <c r="J8">
        <v>0</v>
      </c>
      <c r="K8">
        <v>48</v>
      </c>
      <c r="M8">
        <v>1</v>
      </c>
      <c r="N8">
        <v>0</v>
      </c>
      <c r="O8">
        <v>48</v>
      </c>
      <c r="Q8">
        <v>1</v>
      </c>
      <c r="R8">
        <v>0</v>
      </c>
      <c r="S8">
        <v>42</v>
      </c>
    </row>
    <row r="9" spans="1:19" x14ac:dyDescent="0.25">
      <c r="A9">
        <v>1</v>
      </c>
      <c r="B9">
        <v>0</v>
      </c>
      <c r="C9">
        <v>42</v>
      </c>
      <c r="E9">
        <v>1</v>
      </c>
      <c r="F9">
        <v>0</v>
      </c>
      <c r="G9">
        <v>48</v>
      </c>
      <c r="I9">
        <v>1</v>
      </c>
      <c r="J9">
        <v>0</v>
      </c>
      <c r="K9">
        <v>48</v>
      </c>
      <c r="M9">
        <v>1</v>
      </c>
      <c r="N9">
        <v>0</v>
      </c>
      <c r="O9">
        <v>48</v>
      </c>
      <c r="Q9">
        <v>1</v>
      </c>
      <c r="R9">
        <v>0</v>
      </c>
      <c r="S9">
        <v>48</v>
      </c>
    </row>
    <row r="10" spans="1:19" x14ac:dyDescent="0.25">
      <c r="A10">
        <v>1</v>
      </c>
      <c r="B10">
        <v>0</v>
      </c>
      <c r="C10">
        <v>48</v>
      </c>
      <c r="E10">
        <v>1</v>
      </c>
      <c r="F10">
        <v>0</v>
      </c>
      <c r="G10">
        <v>48</v>
      </c>
      <c r="I10">
        <v>1</v>
      </c>
      <c r="J10">
        <v>0</v>
      </c>
      <c r="K10">
        <v>48</v>
      </c>
      <c r="M10">
        <v>1</v>
      </c>
      <c r="N10">
        <v>0</v>
      </c>
      <c r="O10">
        <v>54</v>
      </c>
      <c r="Q10">
        <v>1</v>
      </c>
      <c r="R10">
        <v>0</v>
      </c>
      <c r="S10">
        <v>48</v>
      </c>
    </row>
    <row r="11" spans="1:19" x14ac:dyDescent="0.25">
      <c r="A11">
        <v>1</v>
      </c>
      <c r="B11">
        <v>0</v>
      </c>
      <c r="C11">
        <v>54</v>
      </c>
      <c r="E11">
        <v>1</v>
      </c>
      <c r="F11">
        <v>0</v>
      </c>
      <c r="G11">
        <v>48</v>
      </c>
      <c r="I11">
        <v>1</v>
      </c>
      <c r="J11">
        <v>0</v>
      </c>
      <c r="K11">
        <v>48</v>
      </c>
      <c r="M11">
        <v>1</v>
      </c>
      <c r="N11">
        <v>0</v>
      </c>
      <c r="O11">
        <v>54</v>
      </c>
      <c r="Q11">
        <v>1</v>
      </c>
      <c r="R11">
        <v>0</v>
      </c>
      <c r="S11">
        <v>48</v>
      </c>
    </row>
    <row r="12" spans="1:19" x14ac:dyDescent="0.25">
      <c r="A12">
        <v>1</v>
      </c>
      <c r="B12">
        <v>0</v>
      </c>
      <c r="C12">
        <v>48</v>
      </c>
      <c r="E12">
        <v>1</v>
      </c>
      <c r="F12">
        <v>0</v>
      </c>
      <c r="G12">
        <v>48</v>
      </c>
      <c r="I12">
        <v>1</v>
      </c>
      <c r="J12">
        <v>0</v>
      </c>
      <c r="K12">
        <v>48</v>
      </c>
      <c r="M12">
        <v>1</v>
      </c>
      <c r="N12">
        <v>0</v>
      </c>
      <c r="O12">
        <v>48</v>
      </c>
      <c r="Q12">
        <v>1</v>
      </c>
      <c r="R12">
        <v>0</v>
      </c>
      <c r="S12">
        <v>42</v>
      </c>
    </row>
    <row r="13" spans="1:19" x14ac:dyDescent="0.25">
      <c r="A13">
        <v>1</v>
      </c>
      <c r="B13">
        <v>0</v>
      </c>
      <c r="C13">
        <v>48</v>
      </c>
      <c r="E13">
        <v>1</v>
      </c>
      <c r="F13">
        <v>0</v>
      </c>
      <c r="G13">
        <v>48</v>
      </c>
      <c r="I13">
        <v>1</v>
      </c>
      <c r="J13">
        <v>0</v>
      </c>
      <c r="K13">
        <v>48</v>
      </c>
      <c r="M13">
        <v>1</v>
      </c>
      <c r="N13">
        <v>0</v>
      </c>
      <c r="O13">
        <v>48</v>
      </c>
      <c r="Q13">
        <v>1</v>
      </c>
      <c r="R13">
        <v>0</v>
      </c>
      <c r="S13">
        <v>48</v>
      </c>
    </row>
    <row r="14" spans="1:19" x14ac:dyDescent="0.25">
      <c r="A14">
        <v>1</v>
      </c>
      <c r="B14">
        <v>0</v>
      </c>
      <c r="C14">
        <v>48</v>
      </c>
      <c r="E14">
        <v>1</v>
      </c>
      <c r="F14">
        <v>0</v>
      </c>
      <c r="G14">
        <v>24</v>
      </c>
      <c r="I14">
        <v>1</v>
      </c>
      <c r="J14">
        <v>0</v>
      </c>
      <c r="K14">
        <v>48</v>
      </c>
      <c r="M14">
        <v>1</v>
      </c>
      <c r="N14">
        <v>0</v>
      </c>
      <c r="O14">
        <v>48</v>
      </c>
      <c r="Q14">
        <v>1</v>
      </c>
      <c r="R14">
        <v>0</v>
      </c>
      <c r="S14">
        <v>48</v>
      </c>
    </row>
    <row r="15" spans="1:19" x14ac:dyDescent="0.25">
      <c r="A15">
        <v>1</v>
      </c>
      <c r="B15">
        <v>0</v>
      </c>
      <c r="C15">
        <v>48</v>
      </c>
      <c r="E15">
        <v>1</v>
      </c>
      <c r="F15">
        <v>0</v>
      </c>
      <c r="G15">
        <v>48</v>
      </c>
      <c r="I15">
        <v>1</v>
      </c>
      <c r="J15">
        <v>0</v>
      </c>
      <c r="K15">
        <v>48</v>
      </c>
      <c r="M15">
        <v>1</v>
      </c>
      <c r="N15">
        <v>0</v>
      </c>
      <c r="O15">
        <v>48</v>
      </c>
      <c r="Q15">
        <v>1</v>
      </c>
      <c r="R15">
        <v>0</v>
      </c>
      <c r="S15">
        <v>48</v>
      </c>
    </row>
    <row r="16" spans="1:19" x14ac:dyDescent="0.25">
      <c r="A16">
        <v>1</v>
      </c>
      <c r="B16">
        <v>0</v>
      </c>
      <c r="C16">
        <v>48</v>
      </c>
      <c r="E16">
        <v>1</v>
      </c>
      <c r="F16">
        <v>0</v>
      </c>
      <c r="G16">
        <v>48</v>
      </c>
      <c r="I16">
        <v>1</v>
      </c>
      <c r="J16">
        <v>0</v>
      </c>
      <c r="K16">
        <v>54</v>
      </c>
      <c r="M16">
        <v>1</v>
      </c>
      <c r="N16">
        <v>0</v>
      </c>
      <c r="O16">
        <v>48</v>
      </c>
      <c r="Q16">
        <v>1</v>
      </c>
      <c r="R16">
        <v>0</v>
      </c>
      <c r="S16">
        <v>48</v>
      </c>
    </row>
    <row r="17" spans="1:21" x14ac:dyDescent="0.25">
      <c r="A17">
        <v>1</v>
      </c>
      <c r="B17">
        <v>0</v>
      </c>
      <c r="C17">
        <v>42</v>
      </c>
      <c r="E17">
        <v>1</v>
      </c>
      <c r="F17">
        <v>0</v>
      </c>
      <c r="G17">
        <v>54</v>
      </c>
      <c r="I17">
        <v>1</v>
      </c>
      <c r="J17">
        <v>0</v>
      </c>
      <c r="K17">
        <v>48</v>
      </c>
      <c r="M17">
        <v>1</v>
      </c>
      <c r="N17">
        <v>0</v>
      </c>
      <c r="O17">
        <v>54</v>
      </c>
      <c r="Q17">
        <v>1</v>
      </c>
      <c r="R17">
        <v>0</v>
      </c>
      <c r="S17">
        <v>48</v>
      </c>
    </row>
    <row r="18" spans="1:21" x14ac:dyDescent="0.25">
      <c r="A18">
        <v>1</v>
      </c>
      <c r="B18">
        <v>0</v>
      </c>
      <c r="C18">
        <v>54</v>
      </c>
      <c r="E18">
        <v>1</v>
      </c>
      <c r="F18">
        <v>0</v>
      </c>
      <c r="G18">
        <v>54</v>
      </c>
      <c r="I18">
        <v>1</v>
      </c>
      <c r="J18">
        <v>0</v>
      </c>
      <c r="K18">
        <v>48</v>
      </c>
      <c r="M18">
        <v>1</v>
      </c>
      <c r="N18">
        <v>0</v>
      </c>
      <c r="O18">
        <v>48</v>
      </c>
      <c r="Q18">
        <v>1</v>
      </c>
      <c r="R18">
        <v>0</v>
      </c>
      <c r="S18">
        <v>48</v>
      </c>
    </row>
    <row r="19" spans="1:21" x14ac:dyDescent="0.25">
      <c r="A19">
        <v>1</v>
      </c>
      <c r="B19">
        <v>0</v>
      </c>
      <c r="C19">
        <v>54</v>
      </c>
      <c r="E19">
        <v>1</v>
      </c>
      <c r="F19">
        <v>0</v>
      </c>
      <c r="G19">
        <v>54</v>
      </c>
      <c r="I19">
        <v>1</v>
      </c>
      <c r="J19">
        <v>0</v>
      </c>
      <c r="K19">
        <v>48</v>
      </c>
      <c r="M19">
        <v>1</v>
      </c>
      <c r="N19">
        <v>0</v>
      </c>
      <c r="O19">
        <v>48</v>
      </c>
      <c r="Q19">
        <v>1</v>
      </c>
      <c r="R19">
        <v>0</v>
      </c>
      <c r="S19">
        <v>49</v>
      </c>
    </row>
    <row r="20" spans="1:21" x14ac:dyDescent="0.25">
      <c r="A20">
        <v>1</v>
      </c>
      <c r="B20">
        <v>0</v>
      </c>
      <c r="C20">
        <v>54</v>
      </c>
      <c r="E20">
        <v>1</v>
      </c>
      <c r="F20">
        <v>0</v>
      </c>
      <c r="G20">
        <v>54</v>
      </c>
      <c r="I20">
        <v>1</v>
      </c>
      <c r="J20">
        <v>0</v>
      </c>
      <c r="K20">
        <v>54</v>
      </c>
      <c r="M20">
        <v>1</v>
      </c>
      <c r="N20">
        <v>0</v>
      </c>
      <c r="O20">
        <v>50</v>
      </c>
      <c r="Q20">
        <v>1</v>
      </c>
      <c r="R20">
        <v>0</v>
      </c>
      <c r="S20">
        <v>42</v>
      </c>
    </row>
    <row r="21" spans="1:21" x14ac:dyDescent="0.25">
      <c r="A21">
        <v>1</v>
      </c>
      <c r="B21">
        <v>0</v>
      </c>
      <c r="C21">
        <v>48</v>
      </c>
      <c r="E21">
        <v>1</v>
      </c>
      <c r="F21">
        <v>0</v>
      </c>
      <c r="G21">
        <v>6</v>
      </c>
      <c r="I21">
        <v>1</v>
      </c>
      <c r="J21">
        <v>0</v>
      </c>
      <c r="K21">
        <v>48</v>
      </c>
      <c r="M21">
        <v>1</v>
      </c>
      <c r="N21">
        <v>0</v>
      </c>
      <c r="O21">
        <v>48</v>
      </c>
      <c r="Q21">
        <v>1</v>
      </c>
      <c r="R21">
        <v>0</v>
      </c>
      <c r="S21">
        <v>48</v>
      </c>
    </row>
    <row r="22" spans="1:21" x14ac:dyDescent="0.25">
      <c r="A22">
        <v>1</v>
      </c>
      <c r="B22">
        <v>0</v>
      </c>
      <c r="C22">
        <v>42</v>
      </c>
      <c r="E22">
        <v>1</v>
      </c>
      <c r="F22">
        <v>0</v>
      </c>
      <c r="G22">
        <v>48</v>
      </c>
      <c r="I22">
        <v>1</v>
      </c>
      <c r="J22">
        <v>0</v>
      </c>
      <c r="K22">
        <v>54</v>
      </c>
      <c r="M22">
        <v>1</v>
      </c>
      <c r="N22">
        <v>0</v>
      </c>
      <c r="O22">
        <v>48</v>
      </c>
      <c r="Q22">
        <v>1</v>
      </c>
      <c r="R22">
        <v>0</v>
      </c>
      <c r="S22">
        <v>48</v>
      </c>
    </row>
    <row r="23" spans="1:21" x14ac:dyDescent="0.25">
      <c r="A23">
        <v>1</v>
      </c>
      <c r="B23">
        <v>0</v>
      </c>
      <c r="C23">
        <v>54</v>
      </c>
      <c r="E23">
        <v>1</v>
      </c>
      <c r="F23">
        <v>0</v>
      </c>
      <c r="G23">
        <v>48</v>
      </c>
      <c r="I23">
        <v>1</v>
      </c>
      <c r="J23">
        <v>0</v>
      </c>
      <c r="K23">
        <v>48</v>
      </c>
      <c r="M23">
        <v>1</v>
      </c>
      <c r="N23">
        <v>0</v>
      </c>
      <c r="O23">
        <v>54</v>
      </c>
      <c r="Q23">
        <v>1</v>
      </c>
      <c r="R23">
        <v>0</v>
      </c>
      <c r="S23">
        <v>42</v>
      </c>
    </row>
    <row r="26" spans="1:21" ht="15.75" thickBot="1" x14ac:dyDescent="0.3"/>
    <row r="27" spans="1:21" x14ac:dyDescent="0.25">
      <c r="A27" s="44" t="s">
        <v>33</v>
      </c>
      <c r="B27" s="45" t="s">
        <v>1</v>
      </c>
      <c r="C27" s="45" t="s">
        <v>2</v>
      </c>
      <c r="D27" s="45" t="s">
        <v>3</v>
      </c>
      <c r="E27" s="45" t="s">
        <v>4</v>
      </c>
      <c r="F27" s="45" t="s">
        <v>5</v>
      </c>
      <c r="G27" s="46" t="s">
        <v>6</v>
      </c>
      <c r="I27" s="44" t="s">
        <v>38</v>
      </c>
      <c r="J27" s="45" t="s">
        <v>1</v>
      </c>
      <c r="K27" s="45" t="s">
        <v>2</v>
      </c>
      <c r="L27" s="45" t="s">
        <v>3</v>
      </c>
      <c r="M27" s="45" t="s">
        <v>4</v>
      </c>
      <c r="N27" s="46" t="s">
        <v>5</v>
      </c>
      <c r="P27" s="44" t="s">
        <v>39</v>
      </c>
      <c r="Q27" s="45" t="s">
        <v>1</v>
      </c>
      <c r="R27" s="45" t="s">
        <v>2</v>
      </c>
      <c r="S27" s="45" t="s">
        <v>3</v>
      </c>
      <c r="T27" s="45" t="s">
        <v>4</v>
      </c>
      <c r="U27" s="46" t="s">
        <v>5</v>
      </c>
    </row>
    <row r="28" spans="1:21" x14ac:dyDescent="0.25">
      <c r="A28" s="47">
        <v>1</v>
      </c>
      <c r="B28">
        <f>A4</f>
        <v>1</v>
      </c>
      <c r="C28">
        <f>E4</f>
        <v>1</v>
      </c>
      <c r="D28">
        <f>I4</f>
        <v>1</v>
      </c>
      <c r="E28">
        <f>M4</f>
        <v>1</v>
      </c>
      <c r="F28">
        <f>Q4</f>
        <v>1</v>
      </c>
      <c r="G28" s="11">
        <f>SUM(B28:F28)</f>
        <v>5</v>
      </c>
      <c r="I28" s="47">
        <v>1</v>
      </c>
      <c r="J28">
        <f>B4</f>
        <v>0</v>
      </c>
      <c r="K28">
        <f>F4</f>
        <v>0</v>
      </c>
      <c r="L28">
        <f>J4</f>
        <v>0</v>
      </c>
      <c r="M28">
        <f>N4</f>
        <v>0</v>
      </c>
      <c r="N28" s="11">
        <f>R4</f>
        <v>0</v>
      </c>
      <c r="P28" s="47">
        <v>1</v>
      </c>
      <c r="Q28">
        <f>C4</f>
        <v>48</v>
      </c>
      <c r="R28">
        <f>G4</f>
        <v>48</v>
      </c>
      <c r="S28">
        <f>K4</f>
        <v>48</v>
      </c>
      <c r="T28">
        <f>O4</f>
        <v>42</v>
      </c>
      <c r="U28" s="11">
        <f>S4</f>
        <v>48</v>
      </c>
    </row>
    <row r="29" spans="1:21" x14ac:dyDescent="0.25">
      <c r="A29" s="47">
        <v>2</v>
      </c>
      <c r="B29">
        <f t="shared" ref="B29:B47" si="0">A5</f>
        <v>1</v>
      </c>
      <c r="C29">
        <f t="shared" ref="C29:C47" si="1">E5</f>
        <v>1</v>
      </c>
      <c r="D29">
        <f t="shared" ref="D29:D47" si="2">I5</f>
        <v>1</v>
      </c>
      <c r="E29">
        <f t="shared" ref="E29:E47" si="3">M5</f>
        <v>1</v>
      </c>
      <c r="F29">
        <f t="shared" ref="F29:F47" si="4">Q5</f>
        <v>1</v>
      </c>
      <c r="G29" s="11">
        <f t="shared" ref="G29:G47" si="5">SUM(B29:F29)</f>
        <v>5</v>
      </c>
      <c r="I29" s="47">
        <v>2</v>
      </c>
      <c r="J29">
        <f t="shared" ref="J29:J47" si="6">B5</f>
        <v>0</v>
      </c>
      <c r="K29">
        <f t="shared" ref="K29:K47" si="7">F5</f>
        <v>0</v>
      </c>
      <c r="L29">
        <f t="shared" ref="L29:L47" si="8">J5</f>
        <v>0</v>
      </c>
      <c r="M29">
        <f t="shared" ref="M29:M47" si="9">N5</f>
        <v>0</v>
      </c>
      <c r="N29" s="11">
        <f t="shared" ref="N29:N47" si="10">R5</f>
        <v>0</v>
      </c>
      <c r="P29" s="47">
        <v>2</v>
      </c>
      <c r="Q29">
        <f t="shared" ref="Q29:Q47" si="11">C5</f>
        <v>54</v>
      </c>
      <c r="R29">
        <f t="shared" ref="R29:R47" si="12">G5</f>
        <v>54</v>
      </c>
      <c r="S29">
        <f t="shared" ref="S29:S47" si="13">K5</f>
        <v>48</v>
      </c>
      <c r="T29">
        <f t="shared" ref="T29:T47" si="14">O5</f>
        <v>54</v>
      </c>
      <c r="U29" s="11">
        <f t="shared" ref="U29:U47" si="15">S5</f>
        <v>48</v>
      </c>
    </row>
    <row r="30" spans="1:21" x14ac:dyDescent="0.25">
      <c r="A30" s="47">
        <v>3</v>
      </c>
      <c r="B30">
        <f t="shared" si="0"/>
        <v>1</v>
      </c>
      <c r="C30">
        <f t="shared" si="1"/>
        <v>1</v>
      </c>
      <c r="D30">
        <f t="shared" si="2"/>
        <v>1</v>
      </c>
      <c r="E30">
        <f t="shared" si="3"/>
        <v>1</v>
      </c>
      <c r="F30">
        <f t="shared" si="4"/>
        <v>1</v>
      </c>
      <c r="G30" s="11">
        <f t="shared" si="5"/>
        <v>5</v>
      </c>
      <c r="I30" s="47">
        <v>3</v>
      </c>
      <c r="J30">
        <f t="shared" si="6"/>
        <v>0</v>
      </c>
      <c r="K30">
        <f t="shared" si="7"/>
        <v>0</v>
      </c>
      <c r="L30">
        <f t="shared" si="8"/>
        <v>0</v>
      </c>
      <c r="M30">
        <f t="shared" si="9"/>
        <v>0</v>
      </c>
      <c r="N30" s="11">
        <f t="shared" si="10"/>
        <v>0</v>
      </c>
      <c r="P30" s="47">
        <v>3</v>
      </c>
      <c r="Q30">
        <f t="shared" si="11"/>
        <v>48</v>
      </c>
      <c r="R30">
        <f t="shared" si="12"/>
        <v>42</v>
      </c>
      <c r="S30">
        <f t="shared" si="13"/>
        <v>54</v>
      </c>
      <c r="T30">
        <f t="shared" si="14"/>
        <v>48</v>
      </c>
      <c r="U30" s="11">
        <f t="shared" si="15"/>
        <v>48</v>
      </c>
    </row>
    <row r="31" spans="1:21" x14ac:dyDescent="0.25">
      <c r="A31" s="47">
        <v>4</v>
      </c>
      <c r="B31">
        <f t="shared" si="0"/>
        <v>1</v>
      </c>
      <c r="C31">
        <f t="shared" si="1"/>
        <v>1</v>
      </c>
      <c r="D31">
        <f t="shared" si="2"/>
        <v>1</v>
      </c>
      <c r="E31">
        <f t="shared" si="3"/>
        <v>1</v>
      </c>
      <c r="F31">
        <f t="shared" si="4"/>
        <v>1</v>
      </c>
      <c r="G31" s="11">
        <f t="shared" si="5"/>
        <v>5</v>
      </c>
      <c r="I31" s="47">
        <v>4</v>
      </c>
      <c r="J31">
        <f t="shared" si="6"/>
        <v>0</v>
      </c>
      <c r="K31">
        <f t="shared" si="7"/>
        <v>0</v>
      </c>
      <c r="L31">
        <f t="shared" si="8"/>
        <v>0</v>
      </c>
      <c r="M31">
        <f t="shared" si="9"/>
        <v>0</v>
      </c>
      <c r="N31" s="11">
        <f t="shared" si="10"/>
        <v>0</v>
      </c>
      <c r="P31" s="47">
        <v>4</v>
      </c>
      <c r="Q31">
        <f t="shared" si="11"/>
        <v>48</v>
      </c>
      <c r="R31">
        <f t="shared" si="12"/>
        <v>48</v>
      </c>
      <c r="S31">
        <f t="shared" si="13"/>
        <v>48</v>
      </c>
      <c r="T31">
        <f t="shared" si="14"/>
        <v>54</v>
      </c>
      <c r="U31" s="11">
        <f t="shared" si="15"/>
        <v>42</v>
      </c>
    </row>
    <row r="32" spans="1:21" x14ac:dyDescent="0.25">
      <c r="A32" s="47">
        <v>5</v>
      </c>
      <c r="B32">
        <f t="shared" si="0"/>
        <v>1</v>
      </c>
      <c r="C32">
        <f t="shared" si="1"/>
        <v>1</v>
      </c>
      <c r="D32">
        <f t="shared" si="2"/>
        <v>1</v>
      </c>
      <c r="E32">
        <f t="shared" si="3"/>
        <v>1</v>
      </c>
      <c r="F32">
        <f t="shared" si="4"/>
        <v>1</v>
      </c>
      <c r="G32" s="11">
        <f t="shared" si="5"/>
        <v>5</v>
      </c>
      <c r="I32" s="47">
        <v>5</v>
      </c>
      <c r="J32">
        <f t="shared" si="6"/>
        <v>0</v>
      </c>
      <c r="K32">
        <f t="shared" si="7"/>
        <v>0</v>
      </c>
      <c r="L32">
        <f t="shared" si="8"/>
        <v>0</v>
      </c>
      <c r="M32">
        <f t="shared" si="9"/>
        <v>0</v>
      </c>
      <c r="N32" s="11">
        <f t="shared" si="10"/>
        <v>0</v>
      </c>
      <c r="P32" s="47">
        <v>5</v>
      </c>
      <c r="Q32">
        <f t="shared" si="11"/>
        <v>48</v>
      </c>
      <c r="R32">
        <f t="shared" si="12"/>
        <v>48</v>
      </c>
      <c r="S32">
        <f t="shared" si="13"/>
        <v>48</v>
      </c>
      <c r="T32">
        <f t="shared" si="14"/>
        <v>48</v>
      </c>
      <c r="U32" s="11">
        <f t="shared" si="15"/>
        <v>42</v>
      </c>
    </row>
    <row r="33" spans="1:21" x14ac:dyDescent="0.25">
      <c r="A33" s="47">
        <v>6</v>
      </c>
      <c r="B33">
        <f t="shared" si="0"/>
        <v>1</v>
      </c>
      <c r="C33">
        <f t="shared" si="1"/>
        <v>1</v>
      </c>
      <c r="D33">
        <f t="shared" si="2"/>
        <v>1</v>
      </c>
      <c r="E33">
        <f t="shared" si="3"/>
        <v>1</v>
      </c>
      <c r="F33">
        <f t="shared" si="4"/>
        <v>1</v>
      </c>
      <c r="G33" s="11">
        <f t="shared" si="5"/>
        <v>5</v>
      </c>
      <c r="I33" s="47">
        <v>6</v>
      </c>
      <c r="J33">
        <f t="shared" si="6"/>
        <v>0</v>
      </c>
      <c r="K33">
        <f t="shared" si="7"/>
        <v>0</v>
      </c>
      <c r="L33">
        <f t="shared" si="8"/>
        <v>0</v>
      </c>
      <c r="M33">
        <f t="shared" si="9"/>
        <v>0</v>
      </c>
      <c r="N33" s="11">
        <f t="shared" si="10"/>
        <v>0</v>
      </c>
      <c r="P33" s="47">
        <v>6</v>
      </c>
      <c r="Q33">
        <f t="shared" si="11"/>
        <v>42</v>
      </c>
      <c r="R33">
        <f t="shared" si="12"/>
        <v>48</v>
      </c>
      <c r="S33">
        <f t="shared" si="13"/>
        <v>48</v>
      </c>
      <c r="T33">
        <f t="shared" si="14"/>
        <v>48</v>
      </c>
      <c r="U33" s="11">
        <f t="shared" si="15"/>
        <v>48</v>
      </c>
    </row>
    <row r="34" spans="1:21" x14ac:dyDescent="0.25">
      <c r="A34" s="47">
        <v>7</v>
      </c>
      <c r="B34">
        <f t="shared" si="0"/>
        <v>1</v>
      </c>
      <c r="C34">
        <f t="shared" si="1"/>
        <v>1</v>
      </c>
      <c r="D34">
        <f t="shared" si="2"/>
        <v>1</v>
      </c>
      <c r="E34">
        <f t="shared" si="3"/>
        <v>1</v>
      </c>
      <c r="F34">
        <f t="shared" si="4"/>
        <v>1</v>
      </c>
      <c r="G34" s="11">
        <f t="shared" si="5"/>
        <v>5</v>
      </c>
      <c r="I34" s="47">
        <v>7</v>
      </c>
      <c r="J34">
        <f t="shared" si="6"/>
        <v>0</v>
      </c>
      <c r="K34">
        <f t="shared" si="7"/>
        <v>0</v>
      </c>
      <c r="L34">
        <f t="shared" si="8"/>
        <v>0</v>
      </c>
      <c r="M34">
        <f t="shared" si="9"/>
        <v>0</v>
      </c>
      <c r="N34" s="11">
        <f t="shared" si="10"/>
        <v>0</v>
      </c>
      <c r="P34" s="47">
        <v>7</v>
      </c>
      <c r="Q34">
        <f t="shared" si="11"/>
        <v>48</v>
      </c>
      <c r="R34">
        <f t="shared" si="12"/>
        <v>48</v>
      </c>
      <c r="S34">
        <f t="shared" si="13"/>
        <v>48</v>
      </c>
      <c r="T34">
        <f t="shared" si="14"/>
        <v>54</v>
      </c>
      <c r="U34" s="11">
        <f t="shared" si="15"/>
        <v>48</v>
      </c>
    </row>
    <row r="35" spans="1:21" x14ac:dyDescent="0.25">
      <c r="A35" s="47">
        <v>8</v>
      </c>
      <c r="B35">
        <f t="shared" si="0"/>
        <v>1</v>
      </c>
      <c r="C35">
        <f t="shared" si="1"/>
        <v>1</v>
      </c>
      <c r="D35">
        <f t="shared" si="2"/>
        <v>1</v>
      </c>
      <c r="E35">
        <f t="shared" si="3"/>
        <v>1</v>
      </c>
      <c r="F35">
        <f t="shared" si="4"/>
        <v>1</v>
      </c>
      <c r="G35" s="11">
        <f t="shared" si="5"/>
        <v>5</v>
      </c>
      <c r="I35" s="47">
        <v>8</v>
      </c>
      <c r="J35">
        <f t="shared" si="6"/>
        <v>0</v>
      </c>
      <c r="K35">
        <f t="shared" si="7"/>
        <v>0</v>
      </c>
      <c r="L35">
        <f t="shared" si="8"/>
        <v>0</v>
      </c>
      <c r="M35">
        <f t="shared" si="9"/>
        <v>0</v>
      </c>
      <c r="N35" s="11">
        <f t="shared" si="10"/>
        <v>0</v>
      </c>
      <c r="P35" s="47">
        <v>8</v>
      </c>
      <c r="Q35">
        <f t="shared" si="11"/>
        <v>54</v>
      </c>
      <c r="R35">
        <f t="shared" si="12"/>
        <v>48</v>
      </c>
      <c r="S35">
        <f t="shared" si="13"/>
        <v>48</v>
      </c>
      <c r="T35">
        <f t="shared" si="14"/>
        <v>54</v>
      </c>
      <c r="U35" s="11">
        <f t="shared" si="15"/>
        <v>48</v>
      </c>
    </row>
    <row r="36" spans="1:21" x14ac:dyDescent="0.25">
      <c r="A36" s="47">
        <v>9</v>
      </c>
      <c r="B36">
        <f t="shared" si="0"/>
        <v>1</v>
      </c>
      <c r="C36">
        <f t="shared" si="1"/>
        <v>1</v>
      </c>
      <c r="D36">
        <f t="shared" si="2"/>
        <v>1</v>
      </c>
      <c r="E36">
        <f t="shared" si="3"/>
        <v>1</v>
      </c>
      <c r="F36">
        <f t="shared" si="4"/>
        <v>1</v>
      </c>
      <c r="G36" s="11">
        <f t="shared" si="5"/>
        <v>5</v>
      </c>
      <c r="I36" s="47">
        <v>9</v>
      </c>
      <c r="J36">
        <f t="shared" si="6"/>
        <v>0</v>
      </c>
      <c r="K36">
        <f t="shared" si="7"/>
        <v>0</v>
      </c>
      <c r="L36">
        <f t="shared" si="8"/>
        <v>0</v>
      </c>
      <c r="M36">
        <f t="shared" si="9"/>
        <v>0</v>
      </c>
      <c r="N36" s="11">
        <f t="shared" si="10"/>
        <v>0</v>
      </c>
      <c r="P36" s="47">
        <v>9</v>
      </c>
      <c r="Q36">
        <f t="shared" si="11"/>
        <v>48</v>
      </c>
      <c r="R36">
        <f t="shared" si="12"/>
        <v>48</v>
      </c>
      <c r="S36">
        <f t="shared" si="13"/>
        <v>48</v>
      </c>
      <c r="T36">
        <f t="shared" si="14"/>
        <v>48</v>
      </c>
      <c r="U36" s="11">
        <f t="shared" si="15"/>
        <v>42</v>
      </c>
    </row>
    <row r="37" spans="1:21" x14ac:dyDescent="0.25">
      <c r="A37" s="47">
        <v>10</v>
      </c>
      <c r="B37">
        <f t="shared" si="0"/>
        <v>1</v>
      </c>
      <c r="C37">
        <f t="shared" si="1"/>
        <v>1</v>
      </c>
      <c r="D37">
        <f t="shared" si="2"/>
        <v>1</v>
      </c>
      <c r="E37">
        <f t="shared" si="3"/>
        <v>1</v>
      </c>
      <c r="F37">
        <f t="shared" si="4"/>
        <v>1</v>
      </c>
      <c r="G37" s="11">
        <f t="shared" si="5"/>
        <v>5</v>
      </c>
      <c r="I37" s="47">
        <v>10</v>
      </c>
      <c r="J37">
        <f t="shared" si="6"/>
        <v>0</v>
      </c>
      <c r="K37">
        <f t="shared" si="7"/>
        <v>0</v>
      </c>
      <c r="L37">
        <f t="shared" si="8"/>
        <v>0</v>
      </c>
      <c r="M37">
        <f t="shared" si="9"/>
        <v>0</v>
      </c>
      <c r="N37" s="11">
        <f t="shared" si="10"/>
        <v>0</v>
      </c>
      <c r="P37" s="47">
        <v>10</v>
      </c>
      <c r="Q37">
        <f t="shared" si="11"/>
        <v>48</v>
      </c>
      <c r="R37">
        <f t="shared" si="12"/>
        <v>48</v>
      </c>
      <c r="S37">
        <f t="shared" si="13"/>
        <v>48</v>
      </c>
      <c r="T37">
        <f t="shared" si="14"/>
        <v>48</v>
      </c>
      <c r="U37" s="11">
        <f t="shared" si="15"/>
        <v>48</v>
      </c>
    </row>
    <row r="38" spans="1:21" x14ac:dyDescent="0.25">
      <c r="A38" s="47">
        <v>11</v>
      </c>
      <c r="B38">
        <f t="shared" si="0"/>
        <v>1</v>
      </c>
      <c r="C38">
        <f t="shared" si="1"/>
        <v>1</v>
      </c>
      <c r="D38">
        <f t="shared" si="2"/>
        <v>1</v>
      </c>
      <c r="E38">
        <f t="shared" si="3"/>
        <v>1</v>
      </c>
      <c r="F38">
        <f t="shared" si="4"/>
        <v>1</v>
      </c>
      <c r="G38" s="11">
        <f t="shared" si="5"/>
        <v>5</v>
      </c>
      <c r="I38" s="47">
        <v>11</v>
      </c>
      <c r="J38">
        <f t="shared" si="6"/>
        <v>0</v>
      </c>
      <c r="K38">
        <f t="shared" si="7"/>
        <v>0</v>
      </c>
      <c r="L38">
        <f t="shared" si="8"/>
        <v>0</v>
      </c>
      <c r="M38">
        <f t="shared" si="9"/>
        <v>0</v>
      </c>
      <c r="N38" s="11">
        <f t="shared" si="10"/>
        <v>0</v>
      </c>
      <c r="P38" s="47">
        <v>11</v>
      </c>
      <c r="Q38">
        <f t="shared" si="11"/>
        <v>48</v>
      </c>
      <c r="R38">
        <f t="shared" si="12"/>
        <v>24</v>
      </c>
      <c r="S38">
        <f t="shared" si="13"/>
        <v>48</v>
      </c>
      <c r="T38">
        <f t="shared" si="14"/>
        <v>48</v>
      </c>
      <c r="U38" s="11">
        <f t="shared" si="15"/>
        <v>48</v>
      </c>
    </row>
    <row r="39" spans="1:21" x14ac:dyDescent="0.25">
      <c r="A39" s="47">
        <v>12</v>
      </c>
      <c r="B39">
        <f t="shared" si="0"/>
        <v>1</v>
      </c>
      <c r="C39">
        <f t="shared" si="1"/>
        <v>1</v>
      </c>
      <c r="D39">
        <f t="shared" si="2"/>
        <v>1</v>
      </c>
      <c r="E39">
        <f t="shared" si="3"/>
        <v>1</v>
      </c>
      <c r="F39">
        <f t="shared" si="4"/>
        <v>1</v>
      </c>
      <c r="G39" s="11">
        <f t="shared" si="5"/>
        <v>5</v>
      </c>
      <c r="I39" s="47">
        <v>12</v>
      </c>
      <c r="J39">
        <f t="shared" si="6"/>
        <v>0</v>
      </c>
      <c r="K39">
        <f t="shared" si="7"/>
        <v>0</v>
      </c>
      <c r="L39">
        <f t="shared" si="8"/>
        <v>0</v>
      </c>
      <c r="M39">
        <f t="shared" si="9"/>
        <v>0</v>
      </c>
      <c r="N39" s="11">
        <f t="shared" si="10"/>
        <v>0</v>
      </c>
      <c r="P39" s="47">
        <v>12</v>
      </c>
      <c r="Q39">
        <f t="shared" si="11"/>
        <v>48</v>
      </c>
      <c r="R39">
        <f t="shared" si="12"/>
        <v>48</v>
      </c>
      <c r="S39">
        <f t="shared" si="13"/>
        <v>48</v>
      </c>
      <c r="T39">
        <f t="shared" si="14"/>
        <v>48</v>
      </c>
      <c r="U39" s="11">
        <f t="shared" si="15"/>
        <v>48</v>
      </c>
    </row>
    <row r="40" spans="1:21" x14ac:dyDescent="0.25">
      <c r="A40" s="47">
        <v>13</v>
      </c>
      <c r="B40">
        <f t="shared" si="0"/>
        <v>1</v>
      </c>
      <c r="C40">
        <f t="shared" si="1"/>
        <v>1</v>
      </c>
      <c r="D40">
        <f t="shared" si="2"/>
        <v>1</v>
      </c>
      <c r="E40">
        <f t="shared" si="3"/>
        <v>1</v>
      </c>
      <c r="F40">
        <f t="shared" si="4"/>
        <v>1</v>
      </c>
      <c r="G40" s="11">
        <f t="shared" si="5"/>
        <v>5</v>
      </c>
      <c r="I40" s="47">
        <v>13</v>
      </c>
      <c r="J40">
        <f t="shared" si="6"/>
        <v>0</v>
      </c>
      <c r="K40">
        <f t="shared" si="7"/>
        <v>0</v>
      </c>
      <c r="L40">
        <f t="shared" si="8"/>
        <v>0</v>
      </c>
      <c r="M40">
        <f t="shared" si="9"/>
        <v>0</v>
      </c>
      <c r="N40" s="11">
        <f t="shared" si="10"/>
        <v>0</v>
      </c>
      <c r="P40" s="47">
        <v>13</v>
      </c>
      <c r="Q40">
        <f t="shared" si="11"/>
        <v>48</v>
      </c>
      <c r="R40">
        <f t="shared" si="12"/>
        <v>48</v>
      </c>
      <c r="S40">
        <f t="shared" si="13"/>
        <v>54</v>
      </c>
      <c r="T40">
        <f t="shared" si="14"/>
        <v>48</v>
      </c>
      <c r="U40" s="11">
        <f t="shared" si="15"/>
        <v>48</v>
      </c>
    </row>
    <row r="41" spans="1:21" x14ac:dyDescent="0.25">
      <c r="A41" s="47">
        <v>14</v>
      </c>
      <c r="B41">
        <f t="shared" si="0"/>
        <v>1</v>
      </c>
      <c r="C41">
        <f t="shared" si="1"/>
        <v>1</v>
      </c>
      <c r="D41">
        <f t="shared" si="2"/>
        <v>1</v>
      </c>
      <c r="E41">
        <f t="shared" si="3"/>
        <v>1</v>
      </c>
      <c r="F41">
        <f t="shared" si="4"/>
        <v>1</v>
      </c>
      <c r="G41" s="11">
        <f t="shared" si="5"/>
        <v>5</v>
      </c>
      <c r="I41" s="47">
        <v>14</v>
      </c>
      <c r="J41">
        <f t="shared" si="6"/>
        <v>0</v>
      </c>
      <c r="K41">
        <f t="shared" si="7"/>
        <v>0</v>
      </c>
      <c r="L41">
        <f t="shared" si="8"/>
        <v>0</v>
      </c>
      <c r="M41">
        <f t="shared" si="9"/>
        <v>0</v>
      </c>
      <c r="N41" s="11">
        <f t="shared" si="10"/>
        <v>0</v>
      </c>
      <c r="P41" s="47">
        <v>14</v>
      </c>
      <c r="Q41">
        <f t="shared" si="11"/>
        <v>42</v>
      </c>
      <c r="R41">
        <f t="shared" si="12"/>
        <v>54</v>
      </c>
      <c r="S41">
        <f t="shared" si="13"/>
        <v>48</v>
      </c>
      <c r="T41">
        <f t="shared" si="14"/>
        <v>54</v>
      </c>
      <c r="U41" s="11">
        <f t="shared" si="15"/>
        <v>48</v>
      </c>
    </row>
    <row r="42" spans="1:21" x14ac:dyDescent="0.25">
      <c r="A42" s="47">
        <v>15</v>
      </c>
      <c r="B42">
        <f t="shared" si="0"/>
        <v>1</v>
      </c>
      <c r="C42">
        <f t="shared" si="1"/>
        <v>1</v>
      </c>
      <c r="D42">
        <f t="shared" si="2"/>
        <v>1</v>
      </c>
      <c r="E42">
        <f t="shared" si="3"/>
        <v>1</v>
      </c>
      <c r="F42">
        <f t="shared" si="4"/>
        <v>1</v>
      </c>
      <c r="G42" s="11">
        <f t="shared" si="5"/>
        <v>5</v>
      </c>
      <c r="I42" s="47">
        <v>15</v>
      </c>
      <c r="J42">
        <f t="shared" si="6"/>
        <v>0</v>
      </c>
      <c r="K42">
        <f t="shared" si="7"/>
        <v>0</v>
      </c>
      <c r="L42">
        <f t="shared" si="8"/>
        <v>0</v>
      </c>
      <c r="M42">
        <f t="shared" si="9"/>
        <v>0</v>
      </c>
      <c r="N42" s="11">
        <f t="shared" si="10"/>
        <v>0</v>
      </c>
      <c r="P42" s="47">
        <v>15</v>
      </c>
      <c r="Q42">
        <f t="shared" si="11"/>
        <v>54</v>
      </c>
      <c r="R42">
        <f t="shared" si="12"/>
        <v>54</v>
      </c>
      <c r="S42">
        <f t="shared" si="13"/>
        <v>48</v>
      </c>
      <c r="T42">
        <f t="shared" si="14"/>
        <v>48</v>
      </c>
      <c r="U42" s="11">
        <f t="shared" si="15"/>
        <v>48</v>
      </c>
    </row>
    <row r="43" spans="1:21" x14ac:dyDescent="0.25">
      <c r="A43" s="47">
        <v>16</v>
      </c>
      <c r="B43">
        <f t="shared" si="0"/>
        <v>1</v>
      </c>
      <c r="C43">
        <f t="shared" si="1"/>
        <v>1</v>
      </c>
      <c r="D43">
        <f t="shared" si="2"/>
        <v>1</v>
      </c>
      <c r="E43">
        <f t="shared" si="3"/>
        <v>1</v>
      </c>
      <c r="F43">
        <f t="shared" si="4"/>
        <v>1</v>
      </c>
      <c r="G43" s="11">
        <f t="shared" si="5"/>
        <v>5</v>
      </c>
      <c r="I43" s="47">
        <v>16</v>
      </c>
      <c r="J43">
        <f t="shared" si="6"/>
        <v>0</v>
      </c>
      <c r="K43">
        <f t="shared" si="7"/>
        <v>0</v>
      </c>
      <c r="L43">
        <f t="shared" si="8"/>
        <v>0</v>
      </c>
      <c r="M43">
        <f t="shared" si="9"/>
        <v>0</v>
      </c>
      <c r="N43" s="11">
        <f t="shared" si="10"/>
        <v>0</v>
      </c>
      <c r="P43" s="47">
        <v>16</v>
      </c>
      <c r="Q43">
        <f t="shared" si="11"/>
        <v>54</v>
      </c>
      <c r="R43">
        <f t="shared" si="12"/>
        <v>54</v>
      </c>
      <c r="S43">
        <f t="shared" si="13"/>
        <v>48</v>
      </c>
      <c r="T43">
        <f t="shared" si="14"/>
        <v>48</v>
      </c>
      <c r="U43" s="11">
        <f t="shared" si="15"/>
        <v>49</v>
      </c>
    </row>
    <row r="44" spans="1:21" x14ac:dyDescent="0.25">
      <c r="A44" s="47">
        <v>17</v>
      </c>
      <c r="B44">
        <f t="shared" si="0"/>
        <v>1</v>
      </c>
      <c r="C44">
        <f t="shared" si="1"/>
        <v>1</v>
      </c>
      <c r="D44">
        <f t="shared" si="2"/>
        <v>1</v>
      </c>
      <c r="E44">
        <f t="shared" si="3"/>
        <v>1</v>
      </c>
      <c r="F44">
        <f t="shared" si="4"/>
        <v>1</v>
      </c>
      <c r="G44" s="11">
        <f t="shared" si="5"/>
        <v>5</v>
      </c>
      <c r="I44" s="47">
        <v>17</v>
      </c>
      <c r="J44">
        <f t="shared" si="6"/>
        <v>0</v>
      </c>
      <c r="K44">
        <f t="shared" si="7"/>
        <v>0</v>
      </c>
      <c r="L44">
        <f t="shared" si="8"/>
        <v>0</v>
      </c>
      <c r="M44">
        <f t="shared" si="9"/>
        <v>0</v>
      </c>
      <c r="N44" s="11">
        <f t="shared" si="10"/>
        <v>0</v>
      </c>
      <c r="P44" s="47">
        <v>17</v>
      </c>
      <c r="Q44">
        <f t="shared" si="11"/>
        <v>54</v>
      </c>
      <c r="R44">
        <f t="shared" si="12"/>
        <v>54</v>
      </c>
      <c r="S44">
        <f t="shared" si="13"/>
        <v>54</v>
      </c>
      <c r="T44">
        <f t="shared" si="14"/>
        <v>50</v>
      </c>
      <c r="U44" s="11">
        <f t="shared" si="15"/>
        <v>42</v>
      </c>
    </row>
    <row r="45" spans="1:21" x14ac:dyDescent="0.25">
      <c r="A45" s="47">
        <v>18</v>
      </c>
      <c r="B45">
        <f t="shared" si="0"/>
        <v>1</v>
      </c>
      <c r="C45">
        <f t="shared" si="1"/>
        <v>1</v>
      </c>
      <c r="D45">
        <f t="shared" si="2"/>
        <v>1</v>
      </c>
      <c r="E45">
        <f t="shared" si="3"/>
        <v>1</v>
      </c>
      <c r="F45">
        <f t="shared" si="4"/>
        <v>1</v>
      </c>
      <c r="G45" s="11">
        <f t="shared" si="5"/>
        <v>5</v>
      </c>
      <c r="I45" s="47">
        <v>18</v>
      </c>
      <c r="J45">
        <f t="shared" si="6"/>
        <v>0</v>
      </c>
      <c r="K45">
        <f t="shared" si="7"/>
        <v>0</v>
      </c>
      <c r="L45">
        <f t="shared" si="8"/>
        <v>0</v>
      </c>
      <c r="M45">
        <f t="shared" si="9"/>
        <v>0</v>
      </c>
      <c r="N45" s="11">
        <f t="shared" si="10"/>
        <v>0</v>
      </c>
      <c r="P45" s="47">
        <v>18</v>
      </c>
      <c r="Q45">
        <f t="shared" si="11"/>
        <v>48</v>
      </c>
      <c r="R45">
        <f t="shared" si="12"/>
        <v>6</v>
      </c>
      <c r="S45">
        <f t="shared" si="13"/>
        <v>48</v>
      </c>
      <c r="T45">
        <f t="shared" si="14"/>
        <v>48</v>
      </c>
      <c r="U45" s="11">
        <f t="shared" si="15"/>
        <v>48</v>
      </c>
    </row>
    <row r="46" spans="1:21" x14ac:dyDescent="0.25">
      <c r="A46" s="47">
        <v>19</v>
      </c>
      <c r="B46">
        <f t="shared" si="0"/>
        <v>1</v>
      </c>
      <c r="C46">
        <f t="shared" si="1"/>
        <v>1</v>
      </c>
      <c r="D46">
        <f t="shared" si="2"/>
        <v>1</v>
      </c>
      <c r="E46">
        <f t="shared" si="3"/>
        <v>1</v>
      </c>
      <c r="F46">
        <f t="shared" si="4"/>
        <v>1</v>
      </c>
      <c r="G46" s="11">
        <f t="shared" si="5"/>
        <v>5</v>
      </c>
      <c r="I46" s="47">
        <v>19</v>
      </c>
      <c r="J46">
        <f t="shared" si="6"/>
        <v>0</v>
      </c>
      <c r="K46">
        <f t="shared" si="7"/>
        <v>0</v>
      </c>
      <c r="L46">
        <f t="shared" si="8"/>
        <v>0</v>
      </c>
      <c r="M46">
        <f t="shared" si="9"/>
        <v>0</v>
      </c>
      <c r="N46" s="11">
        <f t="shared" si="10"/>
        <v>0</v>
      </c>
      <c r="P46" s="47">
        <v>19</v>
      </c>
      <c r="Q46">
        <f t="shared" si="11"/>
        <v>42</v>
      </c>
      <c r="R46">
        <f t="shared" si="12"/>
        <v>48</v>
      </c>
      <c r="S46">
        <f t="shared" si="13"/>
        <v>54</v>
      </c>
      <c r="T46">
        <f t="shared" si="14"/>
        <v>48</v>
      </c>
      <c r="U46" s="11">
        <f t="shared" si="15"/>
        <v>48</v>
      </c>
    </row>
    <row r="47" spans="1:21" ht="15.75" thickBot="1" x14ac:dyDescent="0.3">
      <c r="A47" s="47">
        <v>20</v>
      </c>
      <c r="B47">
        <f t="shared" si="0"/>
        <v>1</v>
      </c>
      <c r="C47">
        <f t="shared" si="1"/>
        <v>1</v>
      </c>
      <c r="D47">
        <f t="shared" si="2"/>
        <v>1</v>
      </c>
      <c r="E47">
        <f t="shared" si="3"/>
        <v>1</v>
      </c>
      <c r="F47">
        <f t="shared" si="4"/>
        <v>1</v>
      </c>
      <c r="G47" s="11">
        <f t="shared" si="5"/>
        <v>5</v>
      </c>
      <c r="I47" s="48">
        <v>20</v>
      </c>
      <c r="J47" s="13">
        <f t="shared" si="6"/>
        <v>0</v>
      </c>
      <c r="K47" s="13">
        <f t="shared" si="7"/>
        <v>0</v>
      </c>
      <c r="L47" s="13">
        <f t="shared" si="8"/>
        <v>0</v>
      </c>
      <c r="M47" s="13">
        <f t="shared" si="9"/>
        <v>0</v>
      </c>
      <c r="N47" s="14">
        <f t="shared" si="10"/>
        <v>0</v>
      </c>
      <c r="P47" s="48">
        <v>20</v>
      </c>
      <c r="Q47" s="13">
        <f t="shared" si="11"/>
        <v>54</v>
      </c>
      <c r="R47" s="13">
        <f t="shared" si="12"/>
        <v>48</v>
      </c>
      <c r="S47" s="13">
        <f t="shared" si="13"/>
        <v>48</v>
      </c>
      <c r="T47" s="13">
        <f t="shared" si="14"/>
        <v>54</v>
      </c>
      <c r="U47" s="14">
        <f t="shared" si="15"/>
        <v>42</v>
      </c>
    </row>
    <row r="48" spans="1:21" x14ac:dyDescent="0.25">
      <c r="A48" s="49" t="s">
        <v>6</v>
      </c>
      <c r="B48" s="50">
        <f>SUM(B28:B47)</f>
        <v>20</v>
      </c>
      <c r="C48" s="50">
        <f t="shared" ref="C48:F48" si="16">SUM(C28:C47)</f>
        <v>20</v>
      </c>
      <c r="D48" s="50">
        <f t="shared" si="16"/>
        <v>20</v>
      </c>
      <c r="E48" s="50">
        <f t="shared" si="16"/>
        <v>20</v>
      </c>
      <c r="F48" s="50">
        <f t="shared" si="16"/>
        <v>20</v>
      </c>
      <c r="G48" s="51">
        <f>SUM(B48:F48)</f>
        <v>100</v>
      </c>
    </row>
    <row r="52" spans="1:7" ht="15.75" thickBot="1" x14ac:dyDescent="0.3"/>
    <row r="53" spans="1:7" x14ac:dyDescent="0.25">
      <c r="A53" s="44" t="s">
        <v>37</v>
      </c>
      <c r="B53" s="45" t="s">
        <v>1</v>
      </c>
      <c r="C53" s="45" t="s">
        <v>2</v>
      </c>
      <c r="D53" s="45" t="s">
        <v>3</v>
      </c>
      <c r="E53" s="45" t="s">
        <v>4</v>
      </c>
      <c r="F53" s="45" t="s">
        <v>5</v>
      </c>
      <c r="G53" s="46" t="s">
        <v>6</v>
      </c>
    </row>
    <row r="54" spans="1:7" x14ac:dyDescent="0.25">
      <c r="A54" s="47">
        <v>1</v>
      </c>
      <c r="B54">
        <f>IF(J28=0,0,1)</f>
        <v>0</v>
      </c>
      <c r="C54">
        <f t="shared" ref="C54:F69" si="17">IF(K28=0,0,1)</f>
        <v>0</v>
      </c>
      <c r="D54">
        <f t="shared" si="17"/>
        <v>0</v>
      </c>
      <c r="E54">
        <f t="shared" si="17"/>
        <v>0</v>
      </c>
      <c r="F54">
        <f t="shared" si="17"/>
        <v>0</v>
      </c>
      <c r="G54" s="11">
        <f>SUM(B54:F54)</f>
        <v>0</v>
      </c>
    </row>
    <row r="55" spans="1:7" x14ac:dyDescent="0.25">
      <c r="A55" s="47">
        <v>2</v>
      </c>
      <c r="B55">
        <f t="shared" ref="B55:B73" si="18">IF(J29=0,0,1)</f>
        <v>0</v>
      </c>
      <c r="C55">
        <f t="shared" si="17"/>
        <v>0</v>
      </c>
      <c r="D55">
        <f t="shared" si="17"/>
        <v>0</v>
      </c>
      <c r="E55">
        <f t="shared" si="17"/>
        <v>0</v>
      </c>
      <c r="F55">
        <f t="shared" si="17"/>
        <v>0</v>
      </c>
      <c r="G55" s="11">
        <f t="shared" ref="G55:G73" si="19">SUM(B55:F55)</f>
        <v>0</v>
      </c>
    </row>
    <row r="56" spans="1:7" x14ac:dyDescent="0.25">
      <c r="A56" s="47">
        <v>3</v>
      </c>
      <c r="B56">
        <f t="shared" si="18"/>
        <v>0</v>
      </c>
      <c r="C56">
        <f t="shared" si="17"/>
        <v>0</v>
      </c>
      <c r="D56">
        <f t="shared" si="17"/>
        <v>0</v>
      </c>
      <c r="E56">
        <f t="shared" si="17"/>
        <v>0</v>
      </c>
      <c r="F56">
        <f t="shared" si="17"/>
        <v>0</v>
      </c>
      <c r="G56" s="11">
        <f t="shared" si="19"/>
        <v>0</v>
      </c>
    </row>
    <row r="57" spans="1:7" x14ac:dyDescent="0.25">
      <c r="A57" s="47">
        <v>4</v>
      </c>
      <c r="B57">
        <f t="shared" si="18"/>
        <v>0</v>
      </c>
      <c r="C57">
        <f t="shared" si="17"/>
        <v>0</v>
      </c>
      <c r="D57">
        <f t="shared" si="17"/>
        <v>0</v>
      </c>
      <c r="E57">
        <f t="shared" si="17"/>
        <v>0</v>
      </c>
      <c r="F57">
        <f t="shared" si="17"/>
        <v>0</v>
      </c>
      <c r="G57" s="11">
        <f t="shared" si="19"/>
        <v>0</v>
      </c>
    </row>
    <row r="58" spans="1:7" x14ac:dyDescent="0.25">
      <c r="A58" s="47">
        <v>5</v>
      </c>
      <c r="B58">
        <f t="shared" si="18"/>
        <v>0</v>
      </c>
      <c r="C58">
        <f t="shared" si="17"/>
        <v>0</v>
      </c>
      <c r="D58">
        <f t="shared" si="17"/>
        <v>0</v>
      </c>
      <c r="E58">
        <f t="shared" si="17"/>
        <v>0</v>
      </c>
      <c r="F58">
        <f t="shared" si="17"/>
        <v>0</v>
      </c>
      <c r="G58" s="11">
        <f t="shared" si="19"/>
        <v>0</v>
      </c>
    </row>
    <row r="59" spans="1:7" x14ac:dyDescent="0.25">
      <c r="A59" s="47">
        <v>6</v>
      </c>
      <c r="B59">
        <f t="shared" si="18"/>
        <v>0</v>
      </c>
      <c r="C59">
        <f t="shared" si="17"/>
        <v>0</v>
      </c>
      <c r="D59">
        <f t="shared" si="17"/>
        <v>0</v>
      </c>
      <c r="E59">
        <f t="shared" si="17"/>
        <v>0</v>
      </c>
      <c r="F59">
        <f t="shared" si="17"/>
        <v>0</v>
      </c>
      <c r="G59" s="11">
        <f t="shared" si="19"/>
        <v>0</v>
      </c>
    </row>
    <row r="60" spans="1:7" x14ac:dyDescent="0.25">
      <c r="A60" s="47">
        <v>7</v>
      </c>
      <c r="B60">
        <f t="shared" si="18"/>
        <v>0</v>
      </c>
      <c r="C60">
        <f t="shared" si="17"/>
        <v>0</v>
      </c>
      <c r="D60">
        <f t="shared" si="17"/>
        <v>0</v>
      </c>
      <c r="E60">
        <f t="shared" si="17"/>
        <v>0</v>
      </c>
      <c r="F60">
        <f t="shared" si="17"/>
        <v>0</v>
      </c>
      <c r="G60" s="11">
        <f t="shared" si="19"/>
        <v>0</v>
      </c>
    </row>
    <row r="61" spans="1:7" x14ac:dyDescent="0.25">
      <c r="A61" s="47">
        <v>8</v>
      </c>
      <c r="B61">
        <f t="shared" si="18"/>
        <v>0</v>
      </c>
      <c r="C61">
        <f t="shared" si="17"/>
        <v>0</v>
      </c>
      <c r="D61">
        <f t="shared" si="17"/>
        <v>0</v>
      </c>
      <c r="E61">
        <f t="shared" si="17"/>
        <v>0</v>
      </c>
      <c r="F61">
        <f t="shared" si="17"/>
        <v>0</v>
      </c>
      <c r="G61" s="11">
        <f t="shared" si="19"/>
        <v>0</v>
      </c>
    </row>
    <row r="62" spans="1:7" x14ac:dyDescent="0.25">
      <c r="A62" s="47">
        <v>9</v>
      </c>
      <c r="B62">
        <f t="shared" si="18"/>
        <v>0</v>
      </c>
      <c r="C62">
        <f t="shared" si="17"/>
        <v>0</v>
      </c>
      <c r="D62">
        <f t="shared" si="17"/>
        <v>0</v>
      </c>
      <c r="E62">
        <f t="shared" si="17"/>
        <v>0</v>
      </c>
      <c r="F62">
        <f t="shared" si="17"/>
        <v>0</v>
      </c>
      <c r="G62" s="11">
        <f t="shared" si="19"/>
        <v>0</v>
      </c>
    </row>
    <row r="63" spans="1:7" x14ac:dyDescent="0.25">
      <c r="A63" s="47">
        <v>10</v>
      </c>
      <c r="B63">
        <f t="shared" si="18"/>
        <v>0</v>
      </c>
      <c r="C63">
        <f t="shared" si="17"/>
        <v>0</v>
      </c>
      <c r="D63">
        <f t="shared" si="17"/>
        <v>0</v>
      </c>
      <c r="E63">
        <f t="shared" si="17"/>
        <v>0</v>
      </c>
      <c r="F63">
        <f t="shared" si="17"/>
        <v>0</v>
      </c>
      <c r="G63" s="11">
        <f t="shared" si="19"/>
        <v>0</v>
      </c>
    </row>
    <row r="64" spans="1:7" x14ac:dyDescent="0.25">
      <c r="A64" s="47">
        <v>11</v>
      </c>
      <c r="B64">
        <f t="shared" si="18"/>
        <v>0</v>
      </c>
      <c r="C64">
        <f t="shared" si="17"/>
        <v>0</v>
      </c>
      <c r="D64">
        <f t="shared" si="17"/>
        <v>0</v>
      </c>
      <c r="E64">
        <f t="shared" si="17"/>
        <v>0</v>
      </c>
      <c r="F64">
        <f t="shared" si="17"/>
        <v>0</v>
      </c>
      <c r="G64" s="11">
        <f t="shared" si="19"/>
        <v>0</v>
      </c>
    </row>
    <row r="65" spans="1:7" x14ac:dyDescent="0.25">
      <c r="A65" s="47">
        <v>12</v>
      </c>
      <c r="B65">
        <f t="shared" si="18"/>
        <v>0</v>
      </c>
      <c r="C65">
        <f t="shared" si="17"/>
        <v>0</v>
      </c>
      <c r="D65">
        <f t="shared" si="17"/>
        <v>0</v>
      </c>
      <c r="E65">
        <f t="shared" si="17"/>
        <v>0</v>
      </c>
      <c r="F65">
        <f t="shared" si="17"/>
        <v>0</v>
      </c>
      <c r="G65" s="11">
        <f t="shared" si="19"/>
        <v>0</v>
      </c>
    </row>
    <row r="66" spans="1:7" x14ac:dyDescent="0.25">
      <c r="A66" s="47">
        <v>13</v>
      </c>
      <c r="B66">
        <f t="shared" si="18"/>
        <v>0</v>
      </c>
      <c r="C66">
        <f t="shared" si="17"/>
        <v>0</v>
      </c>
      <c r="D66">
        <f t="shared" si="17"/>
        <v>0</v>
      </c>
      <c r="E66">
        <f t="shared" si="17"/>
        <v>0</v>
      </c>
      <c r="F66">
        <f t="shared" si="17"/>
        <v>0</v>
      </c>
      <c r="G66" s="11">
        <f t="shared" si="19"/>
        <v>0</v>
      </c>
    </row>
    <row r="67" spans="1:7" x14ac:dyDescent="0.25">
      <c r="A67" s="47">
        <v>14</v>
      </c>
      <c r="B67">
        <f t="shared" si="18"/>
        <v>0</v>
      </c>
      <c r="C67">
        <f t="shared" si="17"/>
        <v>0</v>
      </c>
      <c r="D67">
        <f t="shared" si="17"/>
        <v>0</v>
      </c>
      <c r="E67">
        <f t="shared" si="17"/>
        <v>0</v>
      </c>
      <c r="F67">
        <f t="shared" si="17"/>
        <v>0</v>
      </c>
      <c r="G67" s="11">
        <f t="shared" si="19"/>
        <v>0</v>
      </c>
    </row>
    <row r="68" spans="1:7" x14ac:dyDescent="0.25">
      <c r="A68" s="47">
        <v>15</v>
      </c>
      <c r="B68">
        <f t="shared" si="18"/>
        <v>0</v>
      </c>
      <c r="C68">
        <f t="shared" si="17"/>
        <v>0</v>
      </c>
      <c r="D68">
        <f t="shared" si="17"/>
        <v>0</v>
      </c>
      <c r="E68">
        <f t="shared" si="17"/>
        <v>0</v>
      </c>
      <c r="F68">
        <f t="shared" si="17"/>
        <v>0</v>
      </c>
      <c r="G68" s="11">
        <f t="shared" si="19"/>
        <v>0</v>
      </c>
    </row>
    <row r="69" spans="1:7" x14ac:dyDescent="0.25">
      <c r="A69" s="47">
        <v>16</v>
      </c>
      <c r="B69">
        <f t="shared" si="18"/>
        <v>0</v>
      </c>
      <c r="C69">
        <f t="shared" si="17"/>
        <v>0</v>
      </c>
      <c r="D69">
        <f t="shared" si="17"/>
        <v>0</v>
      </c>
      <c r="E69">
        <f t="shared" si="17"/>
        <v>0</v>
      </c>
      <c r="F69">
        <f t="shared" si="17"/>
        <v>0</v>
      </c>
      <c r="G69" s="11">
        <f t="shared" si="19"/>
        <v>0</v>
      </c>
    </row>
    <row r="70" spans="1:7" x14ac:dyDescent="0.25">
      <c r="A70" s="47">
        <v>17</v>
      </c>
      <c r="B70">
        <f t="shared" si="18"/>
        <v>0</v>
      </c>
      <c r="C70">
        <f t="shared" ref="C70:C73" si="20">IF(K44=0,0,1)</f>
        <v>0</v>
      </c>
      <c r="D70">
        <f t="shared" ref="D70:D73" si="21">IF(L44=0,0,1)</f>
        <v>0</v>
      </c>
      <c r="E70">
        <f t="shared" ref="E70:E73" si="22">IF(M44=0,0,1)</f>
        <v>0</v>
      </c>
      <c r="F70">
        <f t="shared" ref="F70:F73" si="23">IF(N44=0,0,1)</f>
        <v>0</v>
      </c>
      <c r="G70" s="11">
        <f t="shared" si="19"/>
        <v>0</v>
      </c>
    </row>
    <row r="71" spans="1:7" x14ac:dyDescent="0.25">
      <c r="A71" s="47">
        <v>18</v>
      </c>
      <c r="B71">
        <f t="shared" si="18"/>
        <v>0</v>
      </c>
      <c r="C71">
        <f t="shared" si="20"/>
        <v>0</v>
      </c>
      <c r="D71">
        <f t="shared" si="21"/>
        <v>0</v>
      </c>
      <c r="E71">
        <f t="shared" si="22"/>
        <v>0</v>
      </c>
      <c r="F71">
        <f t="shared" si="23"/>
        <v>0</v>
      </c>
      <c r="G71" s="11">
        <f t="shared" si="19"/>
        <v>0</v>
      </c>
    </row>
    <row r="72" spans="1:7" x14ac:dyDescent="0.25">
      <c r="A72" s="47">
        <v>19</v>
      </c>
      <c r="B72">
        <f t="shared" si="18"/>
        <v>0</v>
      </c>
      <c r="C72">
        <f t="shared" si="20"/>
        <v>0</v>
      </c>
      <c r="D72">
        <f t="shared" si="21"/>
        <v>0</v>
      </c>
      <c r="E72">
        <f t="shared" si="22"/>
        <v>0</v>
      </c>
      <c r="F72">
        <f t="shared" si="23"/>
        <v>0</v>
      </c>
      <c r="G72" s="11">
        <f t="shared" si="19"/>
        <v>0</v>
      </c>
    </row>
    <row r="73" spans="1:7" ht="15.75" thickBot="1" x14ac:dyDescent="0.3">
      <c r="A73" s="47">
        <v>20</v>
      </c>
      <c r="B73">
        <f t="shared" si="18"/>
        <v>0</v>
      </c>
      <c r="C73">
        <f t="shared" si="20"/>
        <v>0</v>
      </c>
      <c r="D73">
        <f t="shared" si="21"/>
        <v>0</v>
      </c>
      <c r="E73">
        <f t="shared" si="22"/>
        <v>0</v>
      </c>
      <c r="F73">
        <f t="shared" si="23"/>
        <v>0</v>
      </c>
      <c r="G73" s="11">
        <f t="shared" si="19"/>
        <v>0</v>
      </c>
    </row>
    <row r="74" spans="1:7" ht="15.75" thickBot="1" x14ac:dyDescent="0.3">
      <c r="A74" s="48" t="s">
        <v>6</v>
      </c>
      <c r="B74" s="13">
        <f>SUM(B54:B73)</f>
        <v>0</v>
      </c>
      <c r="C74" s="13">
        <f t="shared" ref="C74" si="24">SUM(C54:C73)</f>
        <v>0</v>
      </c>
      <c r="D74" s="13">
        <f t="shared" ref="D74" si="25">SUM(D54:D73)</f>
        <v>0</v>
      </c>
      <c r="E74" s="13">
        <f t="shared" ref="E74" si="26">SUM(E54:E73)</f>
        <v>0</v>
      </c>
      <c r="F74" s="13">
        <f t="shared" ref="F74" si="27">SUM(F54:F73)</f>
        <v>0</v>
      </c>
      <c r="G74" s="21">
        <f>SUM(B74:F74)</f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469E7-012F-401B-A421-A28385E71132}">
  <dimension ref="A1:U74"/>
  <sheetViews>
    <sheetView topLeftCell="A45" workbookViewId="0">
      <selection activeCell="J55" sqref="J55"/>
    </sheetView>
  </sheetViews>
  <sheetFormatPr defaultRowHeight="15" x14ac:dyDescent="0.25"/>
  <cols>
    <col min="1" max="1" width="15.140625" customWidth="1"/>
    <col min="6" max="6" width="12.85546875" customWidth="1"/>
    <col min="9" max="9" width="15.85546875" customWidth="1"/>
  </cols>
  <sheetData>
    <row r="1" spans="1:19" x14ac:dyDescent="0.25">
      <c r="A1" t="s">
        <v>32</v>
      </c>
      <c r="E1" t="s">
        <v>2</v>
      </c>
      <c r="I1" t="s">
        <v>3</v>
      </c>
      <c r="M1" t="s">
        <v>4</v>
      </c>
      <c r="Q1" t="s">
        <v>5</v>
      </c>
    </row>
    <row r="3" spans="1:19" x14ac:dyDescent="0.25">
      <c r="A3" t="s">
        <v>31</v>
      </c>
      <c r="E3" t="s">
        <v>31</v>
      </c>
      <c r="I3" t="s">
        <v>31</v>
      </c>
      <c r="M3" t="s">
        <v>31</v>
      </c>
      <c r="Q3" t="s">
        <v>34</v>
      </c>
      <c r="R3" t="s">
        <v>35</v>
      </c>
      <c r="S3" t="s">
        <v>36</v>
      </c>
    </row>
    <row r="4" spans="1:19" x14ac:dyDescent="0.25">
      <c r="A4">
        <v>0</v>
      </c>
      <c r="B4">
        <v>0</v>
      </c>
      <c r="C4">
        <v>0</v>
      </c>
      <c r="E4">
        <v>0</v>
      </c>
      <c r="F4">
        <v>0</v>
      </c>
      <c r="G4">
        <v>0</v>
      </c>
      <c r="I4">
        <v>0</v>
      </c>
      <c r="J4">
        <v>0</v>
      </c>
      <c r="K4">
        <v>0</v>
      </c>
      <c r="M4">
        <v>0</v>
      </c>
      <c r="N4">
        <v>0</v>
      </c>
      <c r="O4">
        <v>0</v>
      </c>
      <c r="Q4">
        <v>0</v>
      </c>
      <c r="R4">
        <v>0</v>
      </c>
      <c r="S4">
        <v>0</v>
      </c>
    </row>
    <row r="5" spans="1:19" x14ac:dyDescent="0.25">
      <c r="A5">
        <v>0</v>
      </c>
      <c r="B5">
        <v>0</v>
      </c>
      <c r="C5">
        <v>0</v>
      </c>
      <c r="E5">
        <v>0</v>
      </c>
      <c r="F5">
        <v>0</v>
      </c>
      <c r="G5">
        <v>0</v>
      </c>
      <c r="I5">
        <v>0</v>
      </c>
      <c r="J5">
        <v>0</v>
      </c>
      <c r="K5">
        <v>0</v>
      </c>
      <c r="M5">
        <v>0</v>
      </c>
      <c r="N5">
        <v>0</v>
      </c>
      <c r="O5">
        <v>0</v>
      </c>
      <c r="Q5">
        <v>0</v>
      </c>
      <c r="R5">
        <v>0</v>
      </c>
      <c r="S5">
        <v>0</v>
      </c>
    </row>
    <row r="6" spans="1:19" x14ac:dyDescent="0.25">
      <c r="A6">
        <v>0</v>
      </c>
      <c r="B6">
        <v>0</v>
      </c>
      <c r="C6">
        <v>0</v>
      </c>
      <c r="E6">
        <v>0</v>
      </c>
      <c r="F6">
        <v>0</v>
      </c>
      <c r="G6">
        <v>0</v>
      </c>
      <c r="I6">
        <v>0</v>
      </c>
      <c r="J6">
        <v>0</v>
      </c>
      <c r="K6">
        <v>0</v>
      </c>
      <c r="M6">
        <v>0</v>
      </c>
      <c r="N6">
        <v>0</v>
      </c>
      <c r="O6">
        <v>0</v>
      </c>
      <c r="Q6">
        <v>0</v>
      </c>
      <c r="R6">
        <v>0</v>
      </c>
      <c r="S6">
        <v>0</v>
      </c>
    </row>
    <row r="7" spans="1:19" x14ac:dyDescent="0.25">
      <c r="A7">
        <v>0</v>
      </c>
      <c r="B7">
        <v>0</v>
      </c>
      <c r="C7">
        <v>0</v>
      </c>
      <c r="E7">
        <v>0</v>
      </c>
      <c r="F7">
        <v>0</v>
      </c>
      <c r="G7">
        <v>0</v>
      </c>
      <c r="I7">
        <v>0</v>
      </c>
      <c r="J7">
        <v>0</v>
      </c>
      <c r="K7">
        <v>0</v>
      </c>
      <c r="M7">
        <v>0</v>
      </c>
      <c r="N7">
        <v>0</v>
      </c>
      <c r="O7">
        <v>0</v>
      </c>
      <c r="Q7">
        <v>0</v>
      </c>
      <c r="R7">
        <v>0</v>
      </c>
      <c r="S7">
        <v>0</v>
      </c>
    </row>
    <row r="8" spans="1:19" x14ac:dyDescent="0.25">
      <c r="A8">
        <v>0</v>
      </c>
      <c r="B8">
        <v>0</v>
      </c>
      <c r="C8">
        <v>0</v>
      </c>
      <c r="E8">
        <v>0</v>
      </c>
      <c r="F8">
        <v>0</v>
      </c>
      <c r="G8">
        <v>0</v>
      </c>
      <c r="I8">
        <v>0</v>
      </c>
      <c r="J8">
        <v>0</v>
      </c>
      <c r="K8">
        <v>0</v>
      </c>
      <c r="M8">
        <v>0</v>
      </c>
      <c r="N8">
        <v>0</v>
      </c>
      <c r="O8">
        <v>0</v>
      </c>
      <c r="Q8">
        <v>0</v>
      </c>
      <c r="R8">
        <v>0</v>
      </c>
      <c r="S8">
        <v>0</v>
      </c>
    </row>
    <row r="9" spans="1:19" x14ac:dyDescent="0.25">
      <c r="A9">
        <v>0</v>
      </c>
      <c r="B9">
        <v>0</v>
      </c>
      <c r="C9">
        <v>0</v>
      </c>
      <c r="E9">
        <v>0</v>
      </c>
      <c r="F9">
        <v>0</v>
      </c>
      <c r="G9">
        <v>0</v>
      </c>
      <c r="I9">
        <v>0</v>
      </c>
      <c r="J9">
        <v>0</v>
      </c>
      <c r="K9">
        <v>0</v>
      </c>
      <c r="M9">
        <v>0</v>
      </c>
      <c r="N9">
        <v>0</v>
      </c>
      <c r="O9">
        <v>0</v>
      </c>
      <c r="Q9">
        <v>0</v>
      </c>
      <c r="R9">
        <v>0</v>
      </c>
      <c r="S9">
        <v>0</v>
      </c>
    </row>
    <row r="10" spans="1:19" x14ac:dyDescent="0.25">
      <c r="A10">
        <v>0</v>
      </c>
      <c r="B10">
        <v>0</v>
      </c>
      <c r="C10">
        <v>0</v>
      </c>
      <c r="E10">
        <v>0</v>
      </c>
      <c r="F10">
        <v>0</v>
      </c>
      <c r="G10">
        <v>0</v>
      </c>
      <c r="I10">
        <v>0</v>
      </c>
      <c r="J10">
        <v>0</v>
      </c>
      <c r="K10">
        <v>0</v>
      </c>
      <c r="M10">
        <v>0</v>
      </c>
      <c r="N10">
        <v>0</v>
      </c>
      <c r="O10">
        <v>0</v>
      </c>
      <c r="Q10">
        <v>0</v>
      </c>
      <c r="R10">
        <v>0</v>
      </c>
      <c r="S10">
        <v>0</v>
      </c>
    </row>
    <row r="11" spans="1:19" x14ac:dyDescent="0.25">
      <c r="A11">
        <v>0</v>
      </c>
      <c r="B11">
        <v>0</v>
      </c>
      <c r="C11">
        <v>0</v>
      </c>
      <c r="E11">
        <v>0</v>
      </c>
      <c r="F11">
        <v>0</v>
      </c>
      <c r="G11">
        <v>0</v>
      </c>
      <c r="I11">
        <v>0</v>
      </c>
      <c r="J11">
        <v>0</v>
      </c>
      <c r="K11">
        <v>0</v>
      </c>
      <c r="M11">
        <v>0</v>
      </c>
      <c r="N11">
        <v>0</v>
      </c>
      <c r="O11">
        <v>0</v>
      </c>
      <c r="Q11">
        <v>0</v>
      </c>
      <c r="R11">
        <v>0</v>
      </c>
      <c r="S11">
        <v>0</v>
      </c>
    </row>
    <row r="12" spans="1:19" x14ac:dyDescent="0.25">
      <c r="A12">
        <v>0</v>
      </c>
      <c r="B12">
        <v>0</v>
      </c>
      <c r="C12">
        <v>0</v>
      </c>
      <c r="E12">
        <v>0</v>
      </c>
      <c r="F12">
        <v>0</v>
      </c>
      <c r="G12">
        <v>0</v>
      </c>
      <c r="I12">
        <v>0</v>
      </c>
      <c r="J12">
        <v>0</v>
      </c>
      <c r="K12">
        <v>0</v>
      </c>
      <c r="M12">
        <v>0</v>
      </c>
      <c r="N12">
        <v>0</v>
      </c>
      <c r="O12">
        <v>0</v>
      </c>
      <c r="Q12">
        <v>0</v>
      </c>
      <c r="R12">
        <v>0</v>
      </c>
      <c r="S12">
        <v>0</v>
      </c>
    </row>
    <row r="13" spans="1:19" x14ac:dyDescent="0.25">
      <c r="A13">
        <v>0</v>
      </c>
      <c r="B13">
        <v>0</v>
      </c>
      <c r="C13">
        <v>0</v>
      </c>
      <c r="E13">
        <v>0</v>
      </c>
      <c r="F13">
        <v>0</v>
      </c>
      <c r="G13">
        <v>0</v>
      </c>
      <c r="I13">
        <v>0</v>
      </c>
      <c r="J13">
        <v>0</v>
      </c>
      <c r="K13">
        <v>0</v>
      </c>
      <c r="M13">
        <v>0</v>
      </c>
      <c r="N13">
        <v>0</v>
      </c>
      <c r="O13">
        <v>0</v>
      </c>
      <c r="Q13">
        <v>0</v>
      </c>
      <c r="R13">
        <v>0</v>
      </c>
      <c r="S13">
        <v>0</v>
      </c>
    </row>
    <row r="14" spans="1:19" x14ac:dyDescent="0.25">
      <c r="A14">
        <v>0</v>
      </c>
      <c r="B14">
        <v>0</v>
      </c>
      <c r="C14">
        <v>0</v>
      </c>
      <c r="E14">
        <v>0</v>
      </c>
      <c r="F14">
        <v>0</v>
      </c>
      <c r="G14">
        <v>0</v>
      </c>
      <c r="I14">
        <v>0</v>
      </c>
      <c r="J14">
        <v>0</v>
      </c>
      <c r="K14">
        <v>0</v>
      </c>
      <c r="M14">
        <v>0</v>
      </c>
      <c r="N14">
        <v>0</v>
      </c>
      <c r="O14">
        <v>0</v>
      </c>
      <c r="Q14">
        <v>0</v>
      </c>
      <c r="R14">
        <v>0</v>
      </c>
      <c r="S14">
        <v>0</v>
      </c>
    </row>
    <row r="15" spans="1:19" x14ac:dyDescent="0.25">
      <c r="A15">
        <v>0</v>
      </c>
      <c r="B15">
        <v>0</v>
      </c>
      <c r="C15">
        <v>0</v>
      </c>
      <c r="E15">
        <v>0</v>
      </c>
      <c r="F15">
        <v>0</v>
      </c>
      <c r="G15">
        <v>0</v>
      </c>
      <c r="I15">
        <v>0</v>
      </c>
      <c r="J15">
        <v>0</v>
      </c>
      <c r="K15">
        <v>0</v>
      </c>
      <c r="M15">
        <v>0</v>
      </c>
      <c r="N15">
        <v>0</v>
      </c>
      <c r="O15">
        <v>0</v>
      </c>
      <c r="Q15">
        <v>0</v>
      </c>
      <c r="R15">
        <v>0</v>
      </c>
      <c r="S15">
        <v>0</v>
      </c>
    </row>
    <row r="16" spans="1:19" x14ac:dyDescent="0.25">
      <c r="A16">
        <v>0</v>
      </c>
      <c r="B16">
        <v>0</v>
      </c>
      <c r="C16">
        <v>0</v>
      </c>
      <c r="E16">
        <v>0</v>
      </c>
      <c r="F16">
        <v>0</v>
      </c>
      <c r="G16">
        <v>0</v>
      </c>
      <c r="I16">
        <v>0</v>
      </c>
      <c r="J16">
        <v>0</v>
      </c>
      <c r="K16">
        <v>0</v>
      </c>
      <c r="M16">
        <v>0</v>
      </c>
      <c r="N16">
        <v>0</v>
      </c>
      <c r="O16">
        <v>0</v>
      </c>
      <c r="Q16">
        <v>0</v>
      </c>
      <c r="R16">
        <v>0</v>
      </c>
      <c r="S16">
        <v>0</v>
      </c>
    </row>
    <row r="17" spans="1:21" x14ac:dyDescent="0.25">
      <c r="A17">
        <v>0</v>
      </c>
      <c r="B17">
        <v>0</v>
      </c>
      <c r="C17">
        <v>0</v>
      </c>
      <c r="E17">
        <v>0</v>
      </c>
      <c r="F17">
        <v>0</v>
      </c>
      <c r="G17">
        <v>0</v>
      </c>
      <c r="I17">
        <v>0</v>
      </c>
      <c r="J17">
        <v>0</v>
      </c>
      <c r="K17">
        <v>0</v>
      </c>
      <c r="M17">
        <v>0</v>
      </c>
      <c r="N17">
        <v>0</v>
      </c>
      <c r="O17">
        <v>0</v>
      </c>
      <c r="Q17">
        <v>0</v>
      </c>
      <c r="R17">
        <v>0</v>
      </c>
      <c r="S17">
        <v>0</v>
      </c>
    </row>
    <row r="18" spans="1:21" x14ac:dyDescent="0.25">
      <c r="A18">
        <v>0</v>
      </c>
      <c r="B18">
        <v>0</v>
      </c>
      <c r="C18">
        <v>0</v>
      </c>
      <c r="E18">
        <v>0</v>
      </c>
      <c r="F18">
        <v>0</v>
      </c>
      <c r="G18">
        <v>0</v>
      </c>
      <c r="I18">
        <v>0</v>
      </c>
      <c r="J18">
        <v>0</v>
      </c>
      <c r="K18">
        <v>0</v>
      </c>
      <c r="M18">
        <v>0</v>
      </c>
      <c r="N18">
        <v>0</v>
      </c>
      <c r="O18">
        <v>0</v>
      </c>
      <c r="Q18">
        <v>0</v>
      </c>
      <c r="R18">
        <v>0</v>
      </c>
      <c r="S18">
        <v>0</v>
      </c>
    </row>
    <row r="19" spans="1:21" x14ac:dyDescent="0.25">
      <c r="A19">
        <v>0</v>
      </c>
      <c r="B19">
        <v>0</v>
      </c>
      <c r="C19">
        <v>0</v>
      </c>
      <c r="E19">
        <v>0</v>
      </c>
      <c r="F19">
        <v>0</v>
      </c>
      <c r="G19">
        <v>0</v>
      </c>
      <c r="I19">
        <v>0</v>
      </c>
      <c r="J19">
        <v>0</v>
      </c>
      <c r="K19">
        <v>0</v>
      </c>
      <c r="M19">
        <v>0</v>
      </c>
      <c r="N19">
        <v>0</v>
      </c>
      <c r="O19">
        <v>0</v>
      </c>
      <c r="Q19">
        <v>0</v>
      </c>
      <c r="R19">
        <v>0</v>
      </c>
      <c r="S19">
        <v>0</v>
      </c>
    </row>
    <row r="20" spans="1:21" x14ac:dyDescent="0.25">
      <c r="A20">
        <v>0</v>
      </c>
      <c r="B20">
        <v>0</v>
      </c>
      <c r="C20">
        <v>0</v>
      </c>
      <c r="E20">
        <v>0</v>
      </c>
      <c r="F20">
        <v>0</v>
      </c>
      <c r="G20">
        <v>0</v>
      </c>
      <c r="I20">
        <v>0</v>
      </c>
      <c r="J20">
        <v>0</v>
      </c>
      <c r="K20">
        <v>0</v>
      </c>
      <c r="M20">
        <v>0</v>
      </c>
      <c r="N20">
        <v>0</v>
      </c>
      <c r="O20">
        <v>0</v>
      </c>
      <c r="Q20">
        <v>0</v>
      </c>
      <c r="R20">
        <v>0</v>
      </c>
      <c r="S20">
        <v>0</v>
      </c>
    </row>
    <row r="21" spans="1:21" x14ac:dyDescent="0.25">
      <c r="A21">
        <v>0</v>
      </c>
      <c r="B21">
        <v>0</v>
      </c>
      <c r="C21">
        <v>0</v>
      </c>
      <c r="E21">
        <v>0</v>
      </c>
      <c r="F21">
        <v>0</v>
      </c>
      <c r="G21">
        <v>0</v>
      </c>
      <c r="I21">
        <v>0</v>
      </c>
      <c r="J21">
        <v>0</v>
      </c>
      <c r="K21">
        <v>0</v>
      </c>
      <c r="M21">
        <v>0</v>
      </c>
      <c r="N21">
        <v>0</v>
      </c>
      <c r="O21">
        <v>0</v>
      </c>
      <c r="Q21">
        <v>0</v>
      </c>
      <c r="R21">
        <v>0</v>
      </c>
      <c r="S21">
        <v>0</v>
      </c>
    </row>
    <row r="22" spans="1:21" x14ac:dyDescent="0.25">
      <c r="A22">
        <v>0</v>
      </c>
      <c r="B22">
        <v>0</v>
      </c>
      <c r="C22">
        <v>0</v>
      </c>
      <c r="E22">
        <v>0</v>
      </c>
      <c r="F22">
        <v>0</v>
      </c>
      <c r="G22">
        <v>0</v>
      </c>
      <c r="I22">
        <v>0</v>
      </c>
      <c r="J22">
        <v>0</v>
      </c>
      <c r="K22">
        <v>0</v>
      </c>
      <c r="M22">
        <v>0</v>
      </c>
      <c r="N22">
        <v>0</v>
      </c>
      <c r="O22">
        <v>0</v>
      </c>
      <c r="Q22">
        <v>0</v>
      </c>
      <c r="R22">
        <v>0</v>
      </c>
      <c r="S22">
        <v>0</v>
      </c>
    </row>
    <row r="23" spans="1:21" x14ac:dyDescent="0.25">
      <c r="A23">
        <v>0</v>
      </c>
      <c r="B23">
        <v>0</v>
      </c>
      <c r="C23">
        <v>0</v>
      </c>
      <c r="E23">
        <v>0</v>
      </c>
      <c r="F23">
        <v>0</v>
      </c>
      <c r="G23">
        <v>0</v>
      </c>
      <c r="I23">
        <v>0</v>
      </c>
      <c r="J23">
        <v>0</v>
      </c>
      <c r="K23">
        <v>0</v>
      </c>
      <c r="M23">
        <v>0</v>
      </c>
      <c r="N23">
        <v>0</v>
      </c>
      <c r="O23">
        <v>0</v>
      </c>
      <c r="Q23">
        <v>0</v>
      </c>
      <c r="R23">
        <v>0</v>
      </c>
      <c r="S23">
        <v>0</v>
      </c>
    </row>
    <row r="26" spans="1:21" ht="15.75" thickBot="1" x14ac:dyDescent="0.3"/>
    <row r="27" spans="1:21" x14ac:dyDescent="0.25">
      <c r="A27" s="44" t="s">
        <v>33</v>
      </c>
      <c r="B27" s="45" t="s">
        <v>1</v>
      </c>
      <c r="C27" s="45" t="s">
        <v>2</v>
      </c>
      <c r="D27" s="45" t="s">
        <v>3</v>
      </c>
      <c r="E27" s="45" t="s">
        <v>4</v>
      </c>
      <c r="F27" s="45" t="s">
        <v>5</v>
      </c>
      <c r="G27" s="46" t="s">
        <v>6</v>
      </c>
      <c r="I27" s="44" t="s">
        <v>38</v>
      </c>
      <c r="J27" s="45" t="s">
        <v>1</v>
      </c>
      <c r="K27" s="45" t="s">
        <v>2</v>
      </c>
      <c r="L27" s="45" t="s">
        <v>3</v>
      </c>
      <c r="M27" s="45" t="s">
        <v>4</v>
      </c>
      <c r="N27" s="46" t="s">
        <v>5</v>
      </c>
      <c r="P27" s="44" t="s">
        <v>39</v>
      </c>
      <c r="Q27" s="45" t="s">
        <v>1</v>
      </c>
      <c r="R27" s="45" t="s">
        <v>2</v>
      </c>
      <c r="S27" s="45" t="s">
        <v>3</v>
      </c>
      <c r="T27" s="45" t="s">
        <v>4</v>
      </c>
      <c r="U27" s="46" t="s">
        <v>5</v>
      </c>
    </row>
    <row r="28" spans="1:21" x14ac:dyDescent="0.25">
      <c r="A28" s="47">
        <v>1</v>
      </c>
      <c r="B28">
        <f>A4</f>
        <v>0</v>
      </c>
      <c r="C28">
        <f>E4</f>
        <v>0</v>
      </c>
      <c r="D28">
        <f>I4</f>
        <v>0</v>
      </c>
      <c r="E28">
        <f>M4</f>
        <v>0</v>
      </c>
      <c r="F28">
        <f>Q4</f>
        <v>0</v>
      </c>
      <c r="G28" s="11">
        <f>SUM(B28:F28)</f>
        <v>0</v>
      </c>
      <c r="I28" s="47">
        <v>1</v>
      </c>
      <c r="J28">
        <f>B4</f>
        <v>0</v>
      </c>
      <c r="K28">
        <f>F4</f>
        <v>0</v>
      </c>
      <c r="L28">
        <f>J4</f>
        <v>0</v>
      </c>
      <c r="M28">
        <f>N4</f>
        <v>0</v>
      </c>
      <c r="N28" s="11">
        <f>R4</f>
        <v>0</v>
      </c>
      <c r="P28" s="47">
        <v>1</v>
      </c>
      <c r="Q28">
        <f>C4</f>
        <v>0</v>
      </c>
      <c r="R28">
        <f>G4</f>
        <v>0</v>
      </c>
      <c r="S28">
        <f>K4</f>
        <v>0</v>
      </c>
      <c r="T28">
        <f>O4</f>
        <v>0</v>
      </c>
      <c r="U28" s="11">
        <f>S4</f>
        <v>0</v>
      </c>
    </row>
    <row r="29" spans="1:21" x14ac:dyDescent="0.25">
      <c r="A29" s="47">
        <v>2</v>
      </c>
      <c r="B29">
        <f t="shared" ref="B29:B47" si="0">A5</f>
        <v>0</v>
      </c>
      <c r="C29">
        <f t="shared" ref="C29:C47" si="1">E5</f>
        <v>0</v>
      </c>
      <c r="D29">
        <f t="shared" ref="D29:D47" si="2">I5</f>
        <v>0</v>
      </c>
      <c r="E29">
        <f t="shared" ref="E29:E47" si="3">M5</f>
        <v>0</v>
      </c>
      <c r="F29">
        <f t="shared" ref="F29:F47" si="4">Q5</f>
        <v>0</v>
      </c>
      <c r="G29" s="11">
        <f t="shared" ref="G29:G47" si="5">SUM(B29:F29)</f>
        <v>0</v>
      </c>
      <c r="I29" s="47">
        <v>2</v>
      </c>
      <c r="J29">
        <f t="shared" ref="J29:J47" si="6">B5</f>
        <v>0</v>
      </c>
      <c r="K29">
        <f t="shared" ref="K29:K47" si="7">F5</f>
        <v>0</v>
      </c>
      <c r="L29">
        <f t="shared" ref="L29:L47" si="8">J5</f>
        <v>0</v>
      </c>
      <c r="M29">
        <f t="shared" ref="M29:M47" si="9">N5</f>
        <v>0</v>
      </c>
      <c r="N29" s="11">
        <f t="shared" ref="N29:N47" si="10">R5</f>
        <v>0</v>
      </c>
      <c r="P29" s="47">
        <v>2</v>
      </c>
      <c r="Q29">
        <f t="shared" ref="Q29:Q47" si="11">C5</f>
        <v>0</v>
      </c>
      <c r="R29">
        <f t="shared" ref="R29:R47" si="12">G5</f>
        <v>0</v>
      </c>
      <c r="S29">
        <f t="shared" ref="S29:S47" si="13">K5</f>
        <v>0</v>
      </c>
      <c r="T29">
        <f t="shared" ref="T29:T47" si="14">O5</f>
        <v>0</v>
      </c>
      <c r="U29" s="11">
        <f t="shared" ref="U29:U47" si="15">S5</f>
        <v>0</v>
      </c>
    </row>
    <row r="30" spans="1:21" x14ac:dyDescent="0.25">
      <c r="A30" s="47">
        <v>3</v>
      </c>
      <c r="B30">
        <f t="shared" si="0"/>
        <v>0</v>
      </c>
      <c r="C30">
        <f t="shared" si="1"/>
        <v>0</v>
      </c>
      <c r="D30">
        <f t="shared" si="2"/>
        <v>0</v>
      </c>
      <c r="E30">
        <f t="shared" si="3"/>
        <v>0</v>
      </c>
      <c r="F30">
        <f t="shared" si="4"/>
        <v>0</v>
      </c>
      <c r="G30" s="11">
        <f t="shared" si="5"/>
        <v>0</v>
      </c>
      <c r="I30" s="47">
        <v>3</v>
      </c>
      <c r="J30">
        <f t="shared" si="6"/>
        <v>0</v>
      </c>
      <c r="K30">
        <f t="shared" si="7"/>
        <v>0</v>
      </c>
      <c r="L30">
        <f t="shared" si="8"/>
        <v>0</v>
      </c>
      <c r="M30">
        <f t="shared" si="9"/>
        <v>0</v>
      </c>
      <c r="N30" s="11">
        <f t="shared" si="10"/>
        <v>0</v>
      </c>
      <c r="P30" s="47">
        <v>3</v>
      </c>
      <c r="Q30">
        <f t="shared" si="11"/>
        <v>0</v>
      </c>
      <c r="R30">
        <f t="shared" si="12"/>
        <v>0</v>
      </c>
      <c r="S30">
        <f t="shared" si="13"/>
        <v>0</v>
      </c>
      <c r="T30">
        <f t="shared" si="14"/>
        <v>0</v>
      </c>
      <c r="U30" s="11">
        <f t="shared" si="15"/>
        <v>0</v>
      </c>
    </row>
    <row r="31" spans="1:21" x14ac:dyDescent="0.25">
      <c r="A31" s="47">
        <v>4</v>
      </c>
      <c r="B31">
        <f t="shared" si="0"/>
        <v>0</v>
      </c>
      <c r="C31">
        <f t="shared" si="1"/>
        <v>0</v>
      </c>
      <c r="D31">
        <f t="shared" si="2"/>
        <v>0</v>
      </c>
      <c r="E31">
        <f t="shared" si="3"/>
        <v>0</v>
      </c>
      <c r="F31">
        <f t="shared" si="4"/>
        <v>0</v>
      </c>
      <c r="G31" s="11">
        <f t="shared" si="5"/>
        <v>0</v>
      </c>
      <c r="I31" s="47">
        <v>4</v>
      </c>
      <c r="J31">
        <f t="shared" si="6"/>
        <v>0</v>
      </c>
      <c r="K31">
        <f t="shared" si="7"/>
        <v>0</v>
      </c>
      <c r="L31">
        <f t="shared" si="8"/>
        <v>0</v>
      </c>
      <c r="M31">
        <f t="shared" si="9"/>
        <v>0</v>
      </c>
      <c r="N31" s="11">
        <f t="shared" si="10"/>
        <v>0</v>
      </c>
      <c r="P31" s="47">
        <v>4</v>
      </c>
      <c r="Q31">
        <f t="shared" si="11"/>
        <v>0</v>
      </c>
      <c r="R31">
        <f t="shared" si="12"/>
        <v>0</v>
      </c>
      <c r="S31">
        <f t="shared" si="13"/>
        <v>0</v>
      </c>
      <c r="T31">
        <f t="shared" si="14"/>
        <v>0</v>
      </c>
      <c r="U31" s="11">
        <f t="shared" si="15"/>
        <v>0</v>
      </c>
    </row>
    <row r="32" spans="1:21" x14ac:dyDescent="0.25">
      <c r="A32" s="47">
        <v>5</v>
      </c>
      <c r="B32">
        <f t="shared" si="0"/>
        <v>0</v>
      </c>
      <c r="C32">
        <f t="shared" si="1"/>
        <v>0</v>
      </c>
      <c r="D32">
        <f t="shared" si="2"/>
        <v>0</v>
      </c>
      <c r="E32">
        <f t="shared" si="3"/>
        <v>0</v>
      </c>
      <c r="F32">
        <f t="shared" si="4"/>
        <v>0</v>
      </c>
      <c r="G32" s="11">
        <f t="shared" si="5"/>
        <v>0</v>
      </c>
      <c r="I32" s="47">
        <v>5</v>
      </c>
      <c r="J32">
        <f t="shared" si="6"/>
        <v>0</v>
      </c>
      <c r="K32">
        <f t="shared" si="7"/>
        <v>0</v>
      </c>
      <c r="L32">
        <f t="shared" si="8"/>
        <v>0</v>
      </c>
      <c r="M32">
        <f t="shared" si="9"/>
        <v>0</v>
      </c>
      <c r="N32" s="11">
        <f t="shared" si="10"/>
        <v>0</v>
      </c>
      <c r="P32" s="47">
        <v>5</v>
      </c>
      <c r="Q32">
        <f t="shared" si="11"/>
        <v>0</v>
      </c>
      <c r="R32">
        <f t="shared" si="12"/>
        <v>0</v>
      </c>
      <c r="S32">
        <f t="shared" si="13"/>
        <v>0</v>
      </c>
      <c r="T32">
        <f t="shared" si="14"/>
        <v>0</v>
      </c>
      <c r="U32" s="11">
        <f t="shared" si="15"/>
        <v>0</v>
      </c>
    </row>
    <row r="33" spans="1:21" x14ac:dyDescent="0.25">
      <c r="A33" s="47">
        <v>6</v>
      </c>
      <c r="B33">
        <f t="shared" si="0"/>
        <v>0</v>
      </c>
      <c r="C33">
        <f t="shared" si="1"/>
        <v>0</v>
      </c>
      <c r="D33">
        <f t="shared" si="2"/>
        <v>0</v>
      </c>
      <c r="E33">
        <f t="shared" si="3"/>
        <v>0</v>
      </c>
      <c r="F33">
        <f t="shared" si="4"/>
        <v>0</v>
      </c>
      <c r="G33" s="11">
        <f t="shared" si="5"/>
        <v>0</v>
      </c>
      <c r="I33" s="47">
        <v>6</v>
      </c>
      <c r="J33">
        <f t="shared" si="6"/>
        <v>0</v>
      </c>
      <c r="K33">
        <f t="shared" si="7"/>
        <v>0</v>
      </c>
      <c r="L33">
        <f t="shared" si="8"/>
        <v>0</v>
      </c>
      <c r="M33">
        <f t="shared" si="9"/>
        <v>0</v>
      </c>
      <c r="N33" s="11">
        <f t="shared" si="10"/>
        <v>0</v>
      </c>
      <c r="P33" s="47">
        <v>6</v>
      </c>
      <c r="Q33">
        <f t="shared" si="11"/>
        <v>0</v>
      </c>
      <c r="R33">
        <f t="shared" si="12"/>
        <v>0</v>
      </c>
      <c r="S33">
        <f t="shared" si="13"/>
        <v>0</v>
      </c>
      <c r="T33">
        <f t="shared" si="14"/>
        <v>0</v>
      </c>
      <c r="U33" s="11">
        <f t="shared" si="15"/>
        <v>0</v>
      </c>
    </row>
    <row r="34" spans="1:21" x14ac:dyDescent="0.25">
      <c r="A34" s="47">
        <v>7</v>
      </c>
      <c r="B34">
        <f t="shared" si="0"/>
        <v>0</v>
      </c>
      <c r="C34">
        <f t="shared" si="1"/>
        <v>0</v>
      </c>
      <c r="D34">
        <f t="shared" si="2"/>
        <v>0</v>
      </c>
      <c r="E34">
        <f t="shared" si="3"/>
        <v>0</v>
      </c>
      <c r="F34">
        <f t="shared" si="4"/>
        <v>0</v>
      </c>
      <c r="G34" s="11">
        <f t="shared" si="5"/>
        <v>0</v>
      </c>
      <c r="I34" s="47">
        <v>7</v>
      </c>
      <c r="J34">
        <f t="shared" si="6"/>
        <v>0</v>
      </c>
      <c r="K34">
        <f t="shared" si="7"/>
        <v>0</v>
      </c>
      <c r="L34">
        <f t="shared" si="8"/>
        <v>0</v>
      </c>
      <c r="M34">
        <f t="shared" si="9"/>
        <v>0</v>
      </c>
      <c r="N34" s="11">
        <f t="shared" si="10"/>
        <v>0</v>
      </c>
      <c r="P34" s="47">
        <v>7</v>
      </c>
      <c r="Q34">
        <f t="shared" si="11"/>
        <v>0</v>
      </c>
      <c r="R34">
        <f t="shared" si="12"/>
        <v>0</v>
      </c>
      <c r="S34">
        <f t="shared" si="13"/>
        <v>0</v>
      </c>
      <c r="T34">
        <f t="shared" si="14"/>
        <v>0</v>
      </c>
      <c r="U34" s="11">
        <f t="shared" si="15"/>
        <v>0</v>
      </c>
    </row>
    <row r="35" spans="1:21" x14ac:dyDescent="0.25">
      <c r="A35" s="47">
        <v>8</v>
      </c>
      <c r="B35">
        <f t="shared" si="0"/>
        <v>0</v>
      </c>
      <c r="C35">
        <f t="shared" si="1"/>
        <v>0</v>
      </c>
      <c r="D35">
        <f t="shared" si="2"/>
        <v>0</v>
      </c>
      <c r="E35">
        <f t="shared" si="3"/>
        <v>0</v>
      </c>
      <c r="F35">
        <f t="shared" si="4"/>
        <v>0</v>
      </c>
      <c r="G35" s="11">
        <f t="shared" si="5"/>
        <v>0</v>
      </c>
      <c r="I35" s="47">
        <v>8</v>
      </c>
      <c r="J35">
        <f t="shared" si="6"/>
        <v>0</v>
      </c>
      <c r="K35">
        <f t="shared" si="7"/>
        <v>0</v>
      </c>
      <c r="L35">
        <f t="shared" si="8"/>
        <v>0</v>
      </c>
      <c r="M35">
        <f t="shared" si="9"/>
        <v>0</v>
      </c>
      <c r="N35" s="11">
        <f t="shared" si="10"/>
        <v>0</v>
      </c>
      <c r="P35" s="47">
        <v>8</v>
      </c>
      <c r="Q35">
        <f t="shared" si="11"/>
        <v>0</v>
      </c>
      <c r="R35">
        <f t="shared" si="12"/>
        <v>0</v>
      </c>
      <c r="S35">
        <f t="shared" si="13"/>
        <v>0</v>
      </c>
      <c r="T35">
        <f t="shared" si="14"/>
        <v>0</v>
      </c>
      <c r="U35" s="11">
        <f t="shared" si="15"/>
        <v>0</v>
      </c>
    </row>
    <row r="36" spans="1:21" x14ac:dyDescent="0.25">
      <c r="A36" s="47">
        <v>9</v>
      </c>
      <c r="B36">
        <f t="shared" si="0"/>
        <v>0</v>
      </c>
      <c r="C36">
        <f t="shared" si="1"/>
        <v>0</v>
      </c>
      <c r="D36">
        <f t="shared" si="2"/>
        <v>0</v>
      </c>
      <c r="E36">
        <f t="shared" si="3"/>
        <v>0</v>
      </c>
      <c r="F36">
        <f t="shared" si="4"/>
        <v>0</v>
      </c>
      <c r="G36" s="11">
        <f t="shared" si="5"/>
        <v>0</v>
      </c>
      <c r="I36" s="47">
        <v>9</v>
      </c>
      <c r="J36">
        <f t="shared" si="6"/>
        <v>0</v>
      </c>
      <c r="K36">
        <f t="shared" si="7"/>
        <v>0</v>
      </c>
      <c r="L36">
        <f t="shared" si="8"/>
        <v>0</v>
      </c>
      <c r="M36">
        <f t="shared" si="9"/>
        <v>0</v>
      </c>
      <c r="N36" s="11">
        <f t="shared" si="10"/>
        <v>0</v>
      </c>
      <c r="P36" s="47">
        <v>9</v>
      </c>
      <c r="Q36">
        <f t="shared" si="11"/>
        <v>0</v>
      </c>
      <c r="R36">
        <f t="shared" si="12"/>
        <v>0</v>
      </c>
      <c r="S36">
        <f t="shared" si="13"/>
        <v>0</v>
      </c>
      <c r="T36">
        <f t="shared" si="14"/>
        <v>0</v>
      </c>
      <c r="U36" s="11">
        <f t="shared" si="15"/>
        <v>0</v>
      </c>
    </row>
    <row r="37" spans="1:21" x14ac:dyDescent="0.25">
      <c r="A37" s="47">
        <v>10</v>
      </c>
      <c r="B37">
        <f t="shared" si="0"/>
        <v>0</v>
      </c>
      <c r="C37">
        <f t="shared" si="1"/>
        <v>0</v>
      </c>
      <c r="D37">
        <f t="shared" si="2"/>
        <v>0</v>
      </c>
      <c r="E37">
        <f t="shared" si="3"/>
        <v>0</v>
      </c>
      <c r="F37">
        <f t="shared" si="4"/>
        <v>0</v>
      </c>
      <c r="G37" s="11">
        <f t="shared" si="5"/>
        <v>0</v>
      </c>
      <c r="I37" s="47">
        <v>10</v>
      </c>
      <c r="J37">
        <f t="shared" si="6"/>
        <v>0</v>
      </c>
      <c r="K37">
        <f t="shared" si="7"/>
        <v>0</v>
      </c>
      <c r="L37">
        <f t="shared" si="8"/>
        <v>0</v>
      </c>
      <c r="M37">
        <f t="shared" si="9"/>
        <v>0</v>
      </c>
      <c r="N37" s="11">
        <f t="shared" si="10"/>
        <v>0</v>
      </c>
      <c r="P37" s="47">
        <v>10</v>
      </c>
      <c r="Q37">
        <f t="shared" si="11"/>
        <v>0</v>
      </c>
      <c r="R37">
        <f t="shared" si="12"/>
        <v>0</v>
      </c>
      <c r="S37">
        <f t="shared" si="13"/>
        <v>0</v>
      </c>
      <c r="T37">
        <f t="shared" si="14"/>
        <v>0</v>
      </c>
      <c r="U37" s="11">
        <f t="shared" si="15"/>
        <v>0</v>
      </c>
    </row>
    <row r="38" spans="1:21" x14ac:dyDescent="0.25">
      <c r="A38" s="47">
        <v>11</v>
      </c>
      <c r="B38">
        <f t="shared" si="0"/>
        <v>0</v>
      </c>
      <c r="C38">
        <f t="shared" si="1"/>
        <v>0</v>
      </c>
      <c r="D38">
        <f t="shared" si="2"/>
        <v>0</v>
      </c>
      <c r="E38">
        <f t="shared" si="3"/>
        <v>0</v>
      </c>
      <c r="F38">
        <f t="shared" si="4"/>
        <v>0</v>
      </c>
      <c r="G38" s="11">
        <f t="shared" si="5"/>
        <v>0</v>
      </c>
      <c r="I38" s="47">
        <v>11</v>
      </c>
      <c r="J38">
        <f t="shared" si="6"/>
        <v>0</v>
      </c>
      <c r="K38">
        <f t="shared" si="7"/>
        <v>0</v>
      </c>
      <c r="L38">
        <f t="shared" si="8"/>
        <v>0</v>
      </c>
      <c r="M38">
        <f t="shared" si="9"/>
        <v>0</v>
      </c>
      <c r="N38" s="11">
        <f t="shared" si="10"/>
        <v>0</v>
      </c>
      <c r="P38" s="47">
        <v>11</v>
      </c>
      <c r="Q38">
        <f t="shared" si="11"/>
        <v>0</v>
      </c>
      <c r="R38">
        <f t="shared" si="12"/>
        <v>0</v>
      </c>
      <c r="S38">
        <f t="shared" si="13"/>
        <v>0</v>
      </c>
      <c r="T38">
        <f t="shared" si="14"/>
        <v>0</v>
      </c>
      <c r="U38" s="11">
        <f t="shared" si="15"/>
        <v>0</v>
      </c>
    </row>
    <row r="39" spans="1:21" x14ac:dyDescent="0.25">
      <c r="A39" s="47">
        <v>12</v>
      </c>
      <c r="B39">
        <f t="shared" si="0"/>
        <v>0</v>
      </c>
      <c r="C39">
        <f t="shared" si="1"/>
        <v>0</v>
      </c>
      <c r="D39">
        <f t="shared" si="2"/>
        <v>0</v>
      </c>
      <c r="E39">
        <f t="shared" si="3"/>
        <v>0</v>
      </c>
      <c r="F39">
        <f t="shared" si="4"/>
        <v>0</v>
      </c>
      <c r="G39" s="11">
        <f t="shared" si="5"/>
        <v>0</v>
      </c>
      <c r="I39" s="47">
        <v>12</v>
      </c>
      <c r="J39">
        <f t="shared" si="6"/>
        <v>0</v>
      </c>
      <c r="K39">
        <f t="shared" si="7"/>
        <v>0</v>
      </c>
      <c r="L39">
        <f t="shared" si="8"/>
        <v>0</v>
      </c>
      <c r="M39">
        <f t="shared" si="9"/>
        <v>0</v>
      </c>
      <c r="N39" s="11">
        <f t="shared" si="10"/>
        <v>0</v>
      </c>
      <c r="P39" s="47">
        <v>12</v>
      </c>
      <c r="Q39">
        <f t="shared" si="11"/>
        <v>0</v>
      </c>
      <c r="R39">
        <f t="shared" si="12"/>
        <v>0</v>
      </c>
      <c r="S39">
        <f t="shared" si="13"/>
        <v>0</v>
      </c>
      <c r="T39">
        <f t="shared" si="14"/>
        <v>0</v>
      </c>
      <c r="U39" s="11">
        <f t="shared" si="15"/>
        <v>0</v>
      </c>
    </row>
    <row r="40" spans="1:21" x14ac:dyDescent="0.25">
      <c r="A40" s="47">
        <v>13</v>
      </c>
      <c r="B40">
        <f t="shared" si="0"/>
        <v>0</v>
      </c>
      <c r="C40">
        <f t="shared" si="1"/>
        <v>0</v>
      </c>
      <c r="D40">
        <f t="shared" si="2"/>
        <v>0</v>
      </c>
      <c r="E40">
        <f t="shared" si="3"/>
        <v>0</v>
      </c>
      <c r="F40">
        <f t="shared" si="4"/>
        <v>0</v>
      </c>
      <c r="G40" s="11">
        <f t="shared" si="5"/>
        <v>0</v>
      </c>
      <c r="I40" s="47">
        <v>13</v>
      </c>
      <c r="J40">
        <f t="shared" si="6"/>
        <v>0</v>
      </c>
      <c r="K40">
        <f t="shared" si="7"/>
        <v>0</v>
      </c>
      <c r="L40">
        <f t="shared" si="8"/>
        <v>0</v>
      </c>
      <c r="M40">
        <f t="shared" si="9"/>
        <v>0</v>
      </c>
      <c r="N40" s="11">
        <f t="shared" si="10"/>
        <v>0</v>
      </c>
      <c r="P40" s="47">
        <v>13</v>
      </c>
      <c r="Q40">
        <f t="shared" si="11"/>
        <v>0</v>
      </c>
      <c r="R40">
        <f t="shared" si="12"/>
        <v>0</v>
      </c>
      <c r="S40">
        <f t="shared" si="13"/>
        <v>0</v>
      </c>
      <c r="T40">
        <f t="shared" si="14"/>
        <v>0</v>
      </c>
      <c r="U40" s="11">
        <f t="shared" si="15"/>
        <v>0</v>
      </c>
    </row>
    <row r="41" spans="1:21" x14ac:dyDescent="0.25">
      <c r="A41" s="47">
        <v>14</v>
      </c>
      <c r="B41">
        <f t="shared" si="0"/>
        <v>0</v>
      </c>
      <c r="C41">
        <f t="shared" si="1"/>
        <v>0</v>
      </c>
      <c r="D41">
        <f t="shared" si="2"/>
        <v>0</v>
      </c>
      <c r="E41">
        <f t="shared" si="3"/>
        <v>0</v>
      </c>
      <c r="F41">
        <f t="shared" si="4"/>
        <v>0</v>
      </c>
      <c r="G41" s="11">
        <f t="shared" si="5"/>
        <v>0</v>
      </c>
      <c r="I41" s="47">
        <v>14</v>
      </c>
      <c r="J41">
        <f t="shared" si="6"/>
        <v>0</v>
      </c>
      <c r="K41">
        <f t="shared" si="7"/>
        <v>0</v>
      </c>
      <c r="L41">
        <f t="shared" si="8"/>
        <v>0</v>
      </c>
      <c r="M41">
        <f t="shared" si="9"/>
        <v>0</v>
      </c>
      <c r="N41" s="11">
        <f t="shared" si="10"/>
        <v>0</v>
      </c>
      <c r="P41" s="47">
        <v>14</v>
      </c>
      <c r="Q41">
        <f t="shared" si="11"/>
        <v>0</v>
      </c>
      <c r="R41">
        <f t="shared" si="12"/>
        <v>0</v>
      </c>
      <c r="S41">
        <f t="shared" si="13"/>
        <v>0</v>
      </c>
      <c r="T41">
        <f t="shared" si="14"/>
        <v>0</v>
      </c>
      <c r="U41" s="11">
        <f t="shared" si="15"/>
        <v>0</v>
      </c>
    </row>
    <row r="42" spans="1:21" x14ac:dyDescent="0.25">
      <c r="A42" s="47">
        <v>15</v>
      </c>
      <c r="B42">
        <f t="shared" si="0"/>
        <v>0</v>
      </c>
      <c r="C42">
        <f t="shared" si="1"/>
        <v>0</v>
      </c>
      <c r="D42">
        <f t="shared" si="2"/>
        <v>0</v>
      </c>
      <c r="E42">
        <f t="shared" si="3"/>
        <v>0</v>
      </c>
      <c r="F42">
        <f t="shared" si="4"/>
        <v>0</v>
      </c>
      <c r="G42" s="11">
        <f t="shared" si="5"/>
        <v>0</v>
      </c>
      <c r="I42" s="47">
        <v>15</v>
      </c>
      <c r="J42">
        <f t="shared" si="6"/>
        <v>0</v>
      </c>
      <c r="K42">
        <f t="shared" si="7"/>
        <v>0</v>
      </c>
      <c r="L42">
        <f t="shared" si="8"/>
        <v>0</v>
      </c>
      <c r="M42">
        <f t="shared" si="9"/>
        <v>0</v>
      </c>
      <c r="N42" s="11">
        <f t="shared" si="10"/>
        <v>0</v>
      </c>
      <c r="P42" s="47">
        <v>15</v>
      </c>
      <c r="Q42">
        <f t="shared" si="11"/>
        <v>0</v>
      </c>
      <c r="R42">
        <f t="shared" si="12"/>
        <v>0</v>
      </c>
      <c r="S42">
        <f t="shared" si="13"/>
        <v>0</v>
      </c>
      <c r="T42">
        <f t="shared" si="14"/>
        <v>0</v>
      </c>
      <c r="U42" s="11">
        <f t="shared" si="15"/>
        <v>0</v>
      </c>
    </row>
    <row r="43" spans="1:21" x14ac:dyDescent="0.25">
      <c r="A43" s="47">
        <v>16</v>
      </c>
      <c r="B43">
        <f t="shared" si="0"/>
        <v>0</v>
      </c>
      <c r="C43">
        <f t="shared" si="1"/>
        <v>0</v>
      </c>
      <c r="D43">
        <f t="shared" si="2"/>
        <v>0</v>
      </c>
      <c r="E43">
        <f t="shared" si="3"/>
        <v>0</v>
      </c>
      <c r="F43">
        <f t="shared" si="4"/>
        <v>0</v>
      </c>
      <c r="G43" s="11">
        <f t="shared" si="5"/>
        <v>0</v>
      </c>
      <c r="I43" s="47">
        <v>16</v>
      </c>
      <c r="J43">
        <f t="shared" si="6"/>
        <v>0</v>
      </c>
      <c r="K43">
        <f t="shared" si="7"/>
        <v>0</v>
      </c>
      <c r="L43">
        <f t="shared" si="8"/>
        <v>0</v>
      </c>
      <c r="M43">
        <f t="shared" si="9"/>
        <v>0</v>
      </c>
      <c r="N43" s="11">
        <f t="shared" si="10"/>
        <v>0</v>
      </c>
      <c r="P43" s="47">
        <v>16</v>
      </c>
      <c r="Q43">
        <f t="shared" si="11"/>
        <v>0</v>
      </c>
      <c r="R43">
        <f t="shared" si="12"/>
        <v>0</v>
      </c>
      <c r="S43">
        <f t="shared" si="13"/>
        <v>0</v>
      </c>
      <c r="T43">
        <f t="shared" si="14"/>
        <v>0</v>
      </c>
      <c r="U43" s="11">
        <f t="shared" si="15"/>
        <v>0</v>
      </c>
    </row>
    <row r="44" spans="1:21" x14ac:dyDescent="0.25">
      <c r="A44" s="47">
        <v>17</v>
      </c>
      <c r="B44">
        <f t="shared" si="0"/>
        <v>0</v>
      </c>
      <c r="C44">
        <f t="shared" si="1"/>
        <v>0</v>
      </c>
      <c r="D44">
        <f t="shared" si="2"/>
        <v>0</v>
      </c>
      <c r="E44">
        <f t="shared" si="3"/>
        <v>0</v>
      </c>
      <c r="F44">
        <f t="shared" si="4"/>
        <v>0</v>
      </c>
      <c r="G44" s="11">
        <f t="shared" si="5"/>
        <v>0</v>
      </c>
      <c r="I44" s="47">
        <v>17</v>
      </c>
      <c r="J44">
        <f t="shared" si="6"/>
        <v>0</v>
      </c>
      <c r="K44">
        <f t="shared" si="7"/>
        <v>0</v>
      </c>
      <c r="L44">
        <f t="shared" si="8"/>
        <v>0</v>
      </c>
      <c r="M44">
        <f t="shared" si="9"/>
        <v>0</v>
      </c>
      <c r="N44" s="11">
        <f t="shared" si="10"/>
        <v>0</v>
      </c>
      <c r="P44" s="47">
        <v>17</v>
      </c>
      <c r="Q44">
        <f t="shared" si="11"/>
        <v>0</v>
      </c>
      <c r="R44">
        <f t="shared" si="12"/>
        <v>0</v>
      </c>
      <c r="S44">
        <f t="shared" si="13"/>
        <v>0</v>
      </c>
      <c r="T44">
        <f t="shared" si="14"/>
        <v>0</v>
      </c>
      <c r="U44" s="11">
        <f t="shared" si="15"/>
        <v>0</v>
      </c>
    </row>
    <row r="45" spans="1:21" x14ac:dyDescent="0.25">
      <c r="A45" s="47">
        <v>18</v>
      </c>
      <c r="B45">
        <f t="shared" si="0"/>
        <v>0</v>
      </c>
      <c r="C45">
        <f t="shared" si="1"/>
        <v>0</v>
      </c>
      <c r="D45">
        <f t="shared" si="2"/>
        <v>0</v>
      </c>
      <c r="E45">
        <f t="shared" si="3"/>
        <v>0</v>
      </c>
      <c r="F45">
        <f t="shared" si="4"/>
        <v>0</v>
      </c>
      <c r="G45" s="11">
        <f t="shared" si="5"/>
        <v>0</v>
      </c>
      <c r="I45" s="47">
        <v>18</v>
      </c>
      <c r="J45">
        <f t="shared" si="6"/>
        <v>0</v>
      </c>
      <c r="K45">
        <f t="shared" si="7"/>
        <v>0</v>
      </c>
      <c r="L45">
        <f t="shared" si="8"/>
        <v>0</v>
      </c>
      <c r="M45">
        <f t="shared" si="9"/>
        <v>0</v>
      </c>
      <c r="N45" s="11">
        <f t="shared" si="10"/>
        <v>0</v>
      </c>
      <c r="P45" s="47">
        <v>18</v>
      </c>
      <c r="Q45">
        <f t="shared" si="11"/>
        <v>0</v>
      </c>
      <c r="R45">
        <f t="shared" si="12"/>
        <v>0</v>
      </c>
      <c r="S45">
        <f t="shared" si="13"/>
        <v>0</v>
      </c>
      <c r="T45">
        <f t="shared" si="14"/>
        <v>0</v>
      </c>
      <c r="U45" s="11">
        <f t="shared" si="15"/>
        <v>0</v>
      </c>
    </row>
    <row r="46" spans="1:21" x14ac:dyDescent="0.25">
      <c r="A46" s="47">
        <v>19</v>
      </c>
      <c r="B46">
        <f t="shared" si="0"/>
        <v>0</v>
      </c>
      <c r="C46">
        <f t="shared" si="1"/>
        <v>0</v>
      </c>
      <c r="D46">
        <f t="shared" si="2"/>
        <v>0</v>
      </c>
      <c r="E46">
        <f t="shared" si="3"/>
        <v>0</v>
      </c>
      <c r="F46">
        <f t="shared" si="4"/>
        <v>0</v>
      </c>
      <c r="G46" s="11">
        <f t="shared" si="5"/>
        <v>0</v>
      </c>
      <c r="I46" s="47">
        <v>19</v>
      </c>
      <c r="J46">
        <f t="shared" si="6"/>
        <v>0</v>
      </c>
      <c r="K46">
        <f t="shared" si="7"/>
        <v>0</v>
      </c>
      <c r="L46">
        <f t="shared" si="8"/>
        <v>0</v>
      </c>
      <c r="M46">
        <f t="shared" si="9"/>
        <v>0</v>
      </c>
      <c r="N46" s="11">
        <f t="shared" si="10"/>
        <v>0</v>
      </c>
      <c r="P46" s="47">
        <v>19</v>
      </c>
      <c r="Q46">
        <f t="shared" si="11"/>
        <v>0</v>
      </c>
      <c r="R46">
        <f t="shared" si="12"/>
        <v>0</v>
      </c>
      <c r="S46">
        <f t="shared" si="13"/>
        <v>0</v>
      </c>
      <c r="T46">
        <f t="shared" si="14"/>
        <v>0</v>
      </c>
      <c r="U46" s="11">
        <f t="shared" si="15"/>
        <v>0</v>
      </c>
    </row>
    <row r="47" spans="1:21" ht="15.75" thickBot="1" x14ac:dyDescent="0.3">
      <c r="A47" s="47">
        <v>20</v>
      </c>
      <c r="B47">
        <f t="shared" si="0"/>
        <v>0</v>
      </c>
      <c r="C47">
        <f t="shared" si="1"/>
        <v>0</v>
      </c>
      <c r="D47">
        <f t="shared" si="2"/>
        <v>0</v>
      </c>
      <c r="E47">
        <f t="shared" si="3"/>
        <v>0</v>
      </c>
      <c r="F47">
        <f t="shared" si="4"/>
        <v>0</v>
      </c>
      <c r="G47" s="11">
        <f t="shared" si="5"/>
        <v>0</v>
      </c>
      <c r="I47" s="48">
        <v>20</v>
      </c>
      <c r="J47" s="13">
        <f t="shared" si="6"/>
        <v>0</v>
      </c>
      <c r="K47" s="13">
        <f t="shared" si="7"/>
        <v>0</v>
      </c>
      <c r="L47" s="13">
        <f t="shared" si="8"/>
        <v>0</v>
      </c>
      <c r="M47" s="13">
        <f t="shared" si="9"/>
        <v>0</v>
      </c>
      <c r="N47" s="14">
        <f t="shared" si="10"/>
        <v>0</v>
      </c>
      <c r="P47" s="48">
        <v>20</v>
      </c>
      <c r="Q47" s="13">
        <f t="shared" si="11"/>
        <v>0</v>
      </c>
      <c r="R47" s="13">
        <f t="shared" si="12"/>
        <v>0</v>
      </c>
      <c r="S47" s="13">
        <f t="shared" si="13"/>
        <v>0</v>
      </c>
      <c r="T47" s="13">
        <f t="shared" si="14"/>
        <v>0</v>
      </c>
      <c r="U47" s="14">
        <f t="shared" si="15"/>
        <v>0</v>
      </c>
    </row>
    <row r="48" spans="1:21" x14ac:dyDescent="0.25">
      <c r="A48" s="49" t="s">
        <v>6</v>
      </c>
      <c r="B48" s="50">
        <f>SUM(B28:B47)</f>
        <v>0</v>
      </c>
      <c r="C48" s="50">
        <f t="shared" ref="C48:F48" si="16">SUM(C28:C47)</f>
        <v>0</v>
      </c>
      <c r="D48" s="50">
        <f t="shared" si="16"/>
        <v>0</v>
      </c>
      <c r="E48" s="50">
        <f t="shared" si="16"/>
        <v>0</v>
      </c>
      <c r="F48" s="50">
        <f t="shared" si="16"/>
        <v>0</v>
      </c>
      <c r="G48" s="51">
        <f>SUM(B48:F48)</f>
        <v>0</v>
      </c>
    </row>
    <row r="52" spans="1:7" ht="15.75" thickBot="1" x14ac:dyDescent="0.3"/>
    <row r="53" spans="1:7" x14ac:dyDescent="0.25">
      <c r="A53" s="44" t="s">
        <v>37</v>
      </c>
      <c r="B53" s="45" t="s">
        <v>1</v>
      </c>
      <c r="C53" s="45" t="s">
        <v>2</v>
      </c>
      <c r="D53" s="45" t="s">
        <v>3</v>
      </c>
      <c r="E53" s="45" t="s">
        <v>4</v>
      </c>
      <c r="F53" s="45" t="s">
        <v>5</v>
      </c>
      <c r="G53" s="46" t="s">
        <v>6</v>
      </c>
    </row>
    <row r="54" spans="1:7" x14ac:dyDescent="0.25">
      <c r="A54" s="47">
        <v>1</v>
      </c>
      <c r="B54">
        <f>IF(J28=0,0,1)</f>
        <v>0</v>
      </c>
      <c r="C54">
        <f t="shared" ref="C54:F69" si="17">IF(K28=0,0,1)</f>
        <v>0</v>
      </c>
      <c r="D54">
        <f t="shared" si="17"/>
        <v>0</v>
      </c>
      <c r="E54">
        <f t="shared" si="17"/>
        <v>0</v>
      </c>
      <c r="F54">
        <f t="shared" si="17"/>
        <v>0</v>
      </c>
      <c r="G54" s="11">
        <f>SUM(B54:F54)</f>
        <v>0</v>
      </c>
    </row>
    <row r="55" spans="1:7" x14ac:dyDescent="0.25">
      <c r="A55" s="47">
        <v>2</v>
      </c>
      <c r="B55">
        <f t="shared" ref="B55:F73" si="18">IF(J29=0,0,1)</f>
        <v>0</v>
      </c>
      <c r="C55">
        <f t="shared" si="17"/>
        <v>0</v>
      </c>
      <c r="D55">
        <f t="shared" si="17"/>
        <v>0</v>
      </c>
      <c r="E55">
        <f t="shared" si="17"/>
        <v>0</v>
      </c>
      <c r="F55">
        <f t="shared" si="17"/>
        <v>0</v>
      </c>
      <c r="G55" s="11">
        <f t="shared" ref="G55:G73" si="19">SUM(B55:F55)</f>
        <v>0</v>
      </c>
    </row>
    <row r="56" spans="1:7" x14ac:dyDescent="0.25">
      <c r="A56" s="47">
        <v>3</v>
      </c>
      <c r="B56">
        <f t="shared" si="18"/>
        <v>0</v>
      </c>
      <c r="C56">
        <f t="shared" si="17"/>
        <v>0</v>
      </c>
      <c r="D56">
        <f t="shared" si="17"/>
        <v>0</v>
      </c>
      <c r="E56">
        <f t="shared" si="17"/>
        <v>0</v>
      </c>
      <c r="F56">
        <f t="shared" si="17"/>
        <v>0</v>
      </c>
      <c r="G56" s="11">
        <f t="shared" si="19"/>
        <v>0</v>
      </c>
    </row>
    <row r="57" spans="1:7" x14ac:dyDescent="0.25">
      <c r="A57" s="47">
        <v>4</v>
      </c>
      <c r="B57">
        <f t="shared" si="18"/>
        <v>0</v>
      </c>
      <c r="C57">
        <f t="shared" si="17"/>
        <v>0</v>
      </c>
      <c r="D57">
        <f t="shared" si="17"/>
        <v>0</v>
      </c>
      <c r="E57">
        <f t="shared" si="17"/>
        <v>0</v>
      </c>
      <c r="F57">
        <f t="shared" si="17"/>
        <v>0</v>
      </c>
      <c r="G57" s="11">
        <f t="shared" si="19"/>
        <v>0</v>
      </c>
    </row>
    <row r="58" spans="1:7" x14ac:dyDescent="0.25">
      <c r="A58" s="47">
        <v>5</v>
      </c>
      <c r="B58">
        <f t="shared" si="18"/>
        <v>0</v>
      </c>
      <c r="C58">
        <f t="shared" si="17"/>
        <v>0</v>
      </c>
      <c r="D58">
        <f t="shared" si="17"/>
        <v>0</v>
      </c>
      <c r="E58">
        <f t="shared" si="17"/>
        <v>0</v>
      </c>
      <c r="F58">
        <f t="shared" si="17"/>
        <v>0</v>
      </c>
      <c r="G58" s="11">
        <f t="shared" si="19"/>
        <v>0</v>
      </c>
    </row>
    <row r="59" spans="1:7" x14ac:dyDescent="0.25">
      <c r="A59" s="47">
        <v>6</v>
      </c>
      <c r="B59">
        <f t="shared" si="18"/>
        <v>0</v>
      </c>
      <c r="C59">
        <f t="shared" si="17"/>
        <v>0</v>
      </c>
      <c r="D59">
        <f t="shared" si="17"/>
        <v>0</v>
      </c>
      <c r="E59">
        <f t="shared" si="17"/>
        <v>0</v>
      </c>
      <c r="F59">
        <f t="shared" si="17"/>
        <v>0</v>
      </c>
      <c r="G59" s="11">
        <f t="shared" si="19"/>
        <v>0</v>
      </c>
    </row>
    <row r="60" spans="1:7" x14ac:dyDescent="0.25">
      <c r="A60" s="47">
        <v>7</v>
      </c>
      <c r="B60">
        <f t="shared" si="18"/>
        <v>0</v>
      </c>
      <c r="C60">
        <f t="shared" si="17"/>
        <v>0</v>
      </c>
      <c r="D60">
        <f t="shared" si="17"/>
        <v>0</v>
      </c>
      <c r="E60">
        <f t="shared" si="17"/>
        <v>0</v>
      </c>
      <c r="F60">
        <f t="shared" si="17"/>
        <v>0</v>
      </c>
      <c r="G60" s="11">
        <f t="shared" si="19"/>
        <v>0</v>
      </c>
    </row>
    <row r="61" spans="1:7" x14ac:dyDescent="0.25">
      <c r="A61" s="47">
        <v>8</v>
      </c>
      <c r="B61">
        <f t="shared" si="18"/>
        <v>0</v>
      </c>
      <c r="C61">
        <f t="shared" si="17"/>
        <v>0</v>
      </c>
      <c r="D61">
        <f t="shared" si="17"/>
        <v>0</v>
      </c>
      <c r="E61">
        <f t="shared" si="17"/>
        <v>0</v>
      </c>
      <c r="F61">
        <f t="shared" si="17"/>
        <v>0</v>
      </c>
      <c r="G61" s="11">
        <f t="shared" si="19"/>
        <v>0</v>
      </c>
    </row>
    <row r="62" spans="1:7" x14ac:dyDescent="0.25">
      <c r="A62" s="47">
        <v>9</v>
      </c>
      <c r="B62">
        <f t="shared" si="18"/>
        <v>0</v>
      </c>
      <c r="C62">
        <f t="shared" si="17"/>
        <v>0</v>
      </c>
      <c r="D62">
        <f t="shared" si="17"/>
        <v>0</v>
      </c>
      <c r="E62">
        <f t="shared" si="17"/>
        <v>0</v>
      </c>
      <c r="F62">
        <f t="shared" si="17"/>
        <v>0</v>
      </c>
      <c r="G62" s="11">
        <f t="shared" si="19"/>
        <v>0</v>
      </c>
    </row>
    <row r="63" spans="1:7" x14ac:dyDescent="0.25">
      <c r="A63" s="47">
        <v>10</v>
      </c>
      <c r="B63">
        <f t="shared" si="18"/>
        <v>0</v>
      </c>
      <c r="C63">
        <f t="shared" si="17"/>
        <v>0</v>
      </c>
      <c r="D63">
        <f t="shared" si="17"/>
        <v>0</v>
      </c>
      <c r="E63">
        <f t="shared" si="17"/>
        <v>0</v>
      </c>
      <c r="F63">
        <f t="shared" si="17"/>
        <v>0</v>
      </c>
      <c r="G63" s="11">
        <f t="shared" si="19"/>
        <v>0</v>
      </c>
    </row>
    <row r="64" spans="1:7" x14ac:dyDescent="0.25">
      <c r="A64" s="47">
        <v>11</v>
      </c>
      <c r="B64">
        <f t="shared" si="18"/>
        <v>0</v>
      </c>
      <c r="C64">
        <f t="shared" si="17"/>
        <v>0</v>
      </c>
      <c r="D64">
        <f t="shared" si="17"/>
        <v>0</v>
      </c>
      <c r="E64">
        <f t="shared" si="17"/>
        <v>0</v>
      </c>
      <c r="F64">
        <f t="shared" si="17"/>
        <v>0</v>
      </c>
      <c r="G64" s="11">
        <f t="shared" si="19"/>
        <v>0</v>
      </c>
    </row>
    <row r="65" spans="1:7" x14ac:dyDescent="0.25">
      <c r="A65" s="47">
        <v>12</v>
      </c>
      <c r="B65">
        <f t="shared" si="18"/>
        <v>0</v>
      </c>
      <c r="C65">
        <f t="shared" si="17"/>
        <v>0</v>
      </c>
      <c r="D65">
        <f t="shared" si="17"/>
        <v>0</v>
      </c>
      <c r="E65">
        <f t="shared" si="17"/>
        <v>0</v>
      </c>
      <c r="F65">
        <f t="shared" si="17"/>
        <v>0</v>
      </c>
      <c r="G65" s="11">
        <f t="shared" si="19"/>
        <v>0</v>
      </c>
    </row>
    <row r="66" spans="1:7" x14ac:dyDescent="0.25">
      <c r="A66" s="47">
        <v>13</v>
      </c>
      <c r="B66">
        <f t="shared" si="18"/>
        <v>0</v>
      </c>
      <c r="C66">
        <f t="shared" si="17"/>
        <v>0</v>
      </c>
      <c r="D66">
        <f t="shared" si="17"/>
        <v>0</v>
      </c>
      <c r="E66">
        <f t="shared" si="17"/>
        <v>0</v>
      </c>
      <c r="F66">
        <f t="shared" si="17"/>
        <v>0</v>
      </c>
      <c r="G66" s="11">
        <f t="shared" si="19"/>
        <v>0</v>
      </c>
    </row>
    <row r="67" spans="1:7" x14ac:dyDescent="0.25">
      <c r="A67" s="47">
        <v>14</v>
      </c>
      <c r="B67">
        <f t="shared" si="18"/>
        <v>0</v>
      </c>
      <c r="C67">
        <f t="shared" si="17"/>
        <v>0</v>
      </c>
      <c r="D67">
        <f t="shared" si="17"/>
        <v>0</v>
      </c>
      <c r="E67">
        <f t="shared" si="17"/>
        <v>0</v>
      </c>
      <c r="F67">
        <f t="shared" si="17"/>
        <v>0</v>
      </c>
      <c r="G67" s="11">
        <f t="shared" si="19"/>
        <v>0</v>
      </c>
    </row>
    <row r="68" spans="1:7" x14ac:dyDescent="0.25">
      <c r="A68" s="47">
        <v>15</v>
      </c>
      <c r="B68">
        <f t="shared" si="18"/>
        <v>0</v>
      </c>
      <c r="C68">
        <f t="shared" si="17"/>
        <v>0</v>
      </c>
      <c r="D68">
        <f t="shared" si="17"/>
        <v>0</v>
      </c>
      <c r="E68">
        <f t="shared" si="17"/>
        <v>0</v>
      </c>
      <c r="F68">
        <f t="shared" si="17"/>
        <v>0</v>
      </c>
      <c r="G68" s="11">
        <f t="shared" si="19"/>
        <v>0</v>
      </c>
    </row>
    <row r="69" spans="1:7" x14ac:dyDescent="0.25">
      <c r="A69" s="47">
        <v>16</v>
      </c>
      <c r="B69">
        <f t="shared" si="18"/>
        <v>0</v>
      </c>
      <c r="C69">
        <f t="shared" si="17"/>
        <v>0</v>
      </c>
      <c r="D69">
        <f t="shared" si="17"/>
        <v>0</v>
      </c>
      <c r="E69">
        <f t="shared" si="17"/>
        <v>0</v>
      </c>
      <c r="F69">
        <f t="shared" si="17"/>
        <v>0</v>
      </c>
      <c r="G69" s="11">
        <f t="shared" si="19"/>
        <v>0</v>
      </c>
    </row>
    <row r="70" spans="1:7" x14ac:dyDescent="0.25">
      <c r="A70" s="47">
        <v>17</v>
      </c>
      <c r="B70">
        <f t="shared" si="18"/>
        <v>0</v>
      </c>
      <c r="C70">
        <f t="shared" si="18"/>
        <v>0</v>
      </c>
      <c r="D70">
        <f t="shared" si="18"/>
        <v>0</v>
      </c>
      <c r="E70">
        <f t="shared" si="18"/>
        <v>0</v>
      </c>
      <c r="F70">
        <f t="shared" si="18"/>
        <v>0</v>
      </c>
      <c r="G70" s="11">
        <f t="shared" si="19"/>
        <v>0</v>
      </c>
    </row>
    <row r="71" spans="1:7" x14ac:dyDescent="0.25">
      <c r="A71" s="47">
        <v>18</v>
      </c>
      <c r="B71">
        <f t="shared" si="18"/>
        <v>0</v>
      </c>
      <c r="C71">
        <f t="shared" si="18"/>
        <v>0</v>
      </c>
      <c r="D71">
        <f t="shared" si="18"/>
        <v>0</v>
      </c>
      <c r="E71">
        <f t="shared" si="18"/>
        <v>0</v>
      </c>
      <c r="F71">
        <f t="shared" si="18"/>
        <v>0</v>
      </c>
      <c r="G71" s="11">
        <f t="shared" si="19"/>
        <v>0</v>
      </c>
    </row>
    <row r="72" spans="1:7" x14ac:dyDescent="0.25">
      <c r="A72" s="47">
        <v>19</v>
      </c>
      <c r="B72">
        <f t="shared" si="18"/>
        <v>0</v>
      </c>
      <c r="C72">
        <f t="shared" si="18"/>
        <v>0</v>
      </c>
      <c r="D72">
        <f t="shared" si="18"/>
        <v>0</v>
      </c>
      <c r="E72">
        <f t="shared" si="18"/>
        <v>0</v>
      </c>
      <c r="F72">
        <f t="shared" si="18"/>
        <v>0</v>
      </c>
      <c r="G72" s="11">
        <f t="shared" si="19"/>
        <v>0</v>
      </c>
    </row>
    <row r="73" spans="1:7" ht="15.75" thickBot="1" x14ac:dyDescent="0.3">
      <c r="A73" s="47">
        <v>20</v>
      </c>
      <c r="B73">
        <f t="shared" si="18"/>
        <v>0</v>
      </c>
      <c r="C73">
        <f t="shared" si="18"/>
        <v>0</v>
      </c>
      <c r="D73">
        <f t="shared" si="18"/>
        <v>0</v>
      </c>
      <c r="E73">
        <f t="shared" si="18"/>
        <v>0</v>
      </c>
      <c r="F73">
        <f t="shared" si="18"/>
        <v>0</v>
      </c>
      <c r="G73" s="11">
        <f t="shared" si="19"/>
        <v>0</v>
      </c>
    </row>
    <row r="74" spans="1:7" ht="15.75" thickBot="1" x14ac:dyDescent="0.3">
      <c r="A74" s="48" t="s">
        <v>6</v>
      </c>
      <c r="B74" s="13">
        <f>SUM(B54:B73)</f>
        <v>0</v>
      </c>
      <c r="C74" s="13">
        <f t="shared" ref="C74:F74" si="20">SUM(C54:C73)</f>
        <v>0</v>
      </c>
      <c r="D74" s="13">
        <f t="shared" si="20"/>
        <v>0</v>
      </c>
      <c r="E74" s="13">
        <f t="shared" si="20"/>
        <v>0</v>
      </c>
      <c r="F74" s="13">
        <f t="shared" si="20"/>
        <v>0</v>
      </c>
      <c r="G74" s="21">
        <f>SUM(B74:F74)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8379D-360F-462C-AF93-63EEB2954ECA}">
  <dimension ref="A1:U74"/>
  <sheetViews>
    <sheetView topLeftCell="A45" workbookViewId="0">
      <selection activeCell="W11" sqref="W11"/>
    </sheetView>
  </sheetViews>
  <sheetFormatPr defaultRowHeight="15" x14ac:dyDescent="0.25"/>
  <cols>
    <col min="1" max="1" width="15.140625" customWidth="1"/>
    <col min="6" max="6" width="12.85546875" customWidth="1"/>
    <col min="9" max="9" width="15.85546875" customWidth="1"/>
  </cols>
  <sheetData>
    <row r="1" spans="1:19" x14ac:dyDescent="0.25">
      <c r="A1" t="s">
        <v>32</v>
      </c>
      <c r="E1" t="s">
        <v>2</v>
      </c>
      <c r="I1" t="s">
        <v>3</v>
      </c>
      <c r="M1" t="s">
        <v>4</v>
      </c>
      <c r="Q1" t="s">
        <v>5</v>
      </c>
    </row>
    <row r="3" spans="1:19" x14ac:dyDescent="0.25">
      <c r="A3" t="s">
        <v>31</v>
      </c>
      <c r="E3" t="s">
        <v>31</v>
      </c>
      <c r="I3" t="s">
        <v>31</v>
      </c>
      <c r="M3" t="s">
        <v>31</v>
      </c>
      <c r="Q3" t="s">
        <v>34</v>
      </c>
      <c r="R3" t="s">
        <v>35</v>
      </c>
      <c r="S3" t="s">
        <v>36</v>
      </c>
    </row>
    <row r="4" spans="1:19" x14ac:dyDescent="0.25">
      <c r="A4">
        <v>0</v>
      </c>
      <c r="B4">
        <v>0</v>
      </c>
      <c r="C4">
        <v>0</v>
      </c>
      <c r="E4">
        <v>0</v>
      </c>
      <c r="F4">
        <v>0</v>
      </c>
      <c r="G4">
        <v>0</v>
      </c>
      <c r="I4">
        <v>0</v>
      </c>
      <c r="J4">
        <v>0</v>
      </c>
      <c r="K4">
        <v>0</v>
      </c>
      <c r="M4">
        <v>0</v>
      </c>
      <c r="N4">
        <v>0</v>
      </c>
      <c r="O4">
        <v>0</v>
      </c>
      <c r="Q4">
        <v>0</v>
      </c>
      <c r="R4">
        <v>0</v>
      </c>
      <c r="S4">
        <v>0</v>
      </c>
    </row>
    <row r="5" spans="1:19" x14ac:dyDescent="0.25">
      <c r="A5">
        <v>0</v>
      </c>
      <c r="B5">
        <v>0</v>
      </c>
      <c r="C5">
        <v>0</v>
      </c>
      <c r="E5">
        <v>0</v>
      </c>
      <c r="F5">
        <v>0</v>
      </c>
      <c r="G5">
        <v>0</v>
      </c>
      <c r="I5">
        <v>0</v>
      </c>
      <c r="J5">
        <v>0</v>
      </c>
      <c r="K5">
        <v>0</v>
      </c>
      <c r="M5">
        <v>0</v>
      </c>
      <c r="N5">
        <v>0</v>
      </c>
      <c r="O5">
        <v>0</v>
      </c>
      <c r="Q5">
        <v>0</v>
      </c>
      <c r="R5">
        <v>0</v>
      </c>
      <c r="S5">
        <v>0</v>
      </c>
    </row>
    <row r="6" spans="1:19" x14ac:dyDescent="0.25">
      <c r="A6">
        <v>0</v>
      </c>
      <c r="B6">
        <v>0</v>
      </c>
      <c r="C6">
        <v>0</v>
      </c>
      <c r="E6">
        <v>0</v>
      </c>
      <c r="F6">
        <v>0</v>
      </c>
      <c r="G6">
        <v>0</v>
      </c>
      <c r="I6">
        <v>0</v>
      </c>
      <c r="J6">
        <v>0</v>
      </c>
      <c r="K6">
        <v>0</v>
      </c>
      <c r="M6">
        <v>0</v>
      </c>
      <c r="N6">
        <v>0</v>
      </c>
      <c r="O6">
        <v>0</v>
      </c>
      <c r="Q6">
        <v>0</v>
      </c>
      <c r="R6">
        <v>0</v>
      </c>
      <c r="S6">
        <v>0</v>
      </c>
    </row>
    <row r="7" spans="1:19" x14ac:dyDescent="0.25">
      <c r="A7">
        <v>0</v>
      </c>
      <c r="B7">
        <v>0</v>
      </c>
      <c r="C7">
        <v>0</v>
      </c>
      <c r="E7">
        <v>0</v>
      </c>
      <c r="F7">
        <v>0</v>
      </c>
      <c r="G7">
        <v>0</v>
      </c>
      <c r="I7">
        <v>0</v>
      </c>
      <c r="J7">
        <v>0</v>
      </c>
      <c r="K7">
        <v>0</v>
      </c>
      <c r="M7">
        <v>0</v>
      </c>
      <c r="N7">
        <v>0</v>
      </c>
      <c r="O7">
        <v>0</v>
      </c>
      <c r="Q7">
        <v>0</v>
      </c>
      <c r="R7">
        <v>0</v>
      </c>
      <c r="S7">
        <v>0</v>
      </c>
    </row>
    <row r="8" spans="1:19" x14ac:dyDescent="0.25">
      <c r="A8">
        <v>0</v>
      </c>
      <c r="B8">
        <v>0</v>
      </c>
      <c r="C8">
        <v>0</v>
      </c>
      <c r="E8">
        <v>0</v>
      </c>
      <c r="F8">
        <v>0</v>
      </c>
      <c r="G8">
        <v>0</v>
      </c>
      <c r="I8">
        <v>0</v>
      </c>
      <c r="J8">
        <v>0</v>
      </c>
      <c r="K8">
        <v>0</v>
      </c>
      <c r="M8">
        <v>0</v>
      </c>
      <c r="N8">
        <v>0</v>
      </c>
      <c r="O8">
        <v>0</v>
      </c>
      <c r="Q8">
        <v>0</v>
      </c>
      <c r="R8">
        <v>0</v>
      </c>
      <c r="S8">
        <v>0</v>
      </c>
    </row>
    <row r="9" spans="1:19" x14ac:dyDescent="0.25">
      <c r="A9">
        <v>0</v>
      </c>
      <c r="B9">
        <v>0</v>
      </c>
      <c r="C9">
        <v>0</v>
      </c>
      <c r="E9">
        <v>0</v>
      </c>
      <c r="F9">
        <v>0</v>
      </c>
      <c r="G9">
        <v>0</v>
      </c>
      <c r="I9">
        <v>0</v>
      </c>
      <c r="J9">
        <v>0</v>
      </c>
      <c r="K9">
        <v>0</v>
      </c>
      <c r="M9">
        <v>0</v>
      </c>
      <c r="N9">
        <v>0</v>
      </c>
      <c r="O9">
        <v>0</v>
      </c>
      <c r="Q9">
        <v>0</v>
      </c>
      <c r="R9">
        <v>0</v>
      </c>
      <c r="S9">
        <v>0</v>
      </c>
    </row>
    <row r="10" spans="1:19" x14ac:dyDescent="0.25">
      <c r="A10">
        <v>0</v>
      </c>
      <c r="B10">
        <v>0</v>
      </c>
      <c r="C10">
        <v>0</v>
      </c>
      <c r="E10">
        <v>0</v>
      </c>
      <c r="F10">
        <v>0</v>
      </c>
      <c r="G10">
        <v>0</v>
      </c>
      <c r="I10">
        <v>0</v>
      </c>
      <c r="J10">
        <v>0</v>
      </c>
      <c r="K10">
        <v>0</v>
      </c>
      <c r="M10">
        <v>0</v>
      </c>
      <c r="N10">
        <v>0</v>
      </c>
      <c r="O10">
        <v>0</v>
      </c>
      <c r="Q10">
        <v>0</v>
      </c>
      <c r="R10">
        <v>0</v>
      </c>
      <c r="S10">
        <v>0</v>
      </c>
    </row>
    <row r="11" spans="1:19" x14ac:dyDescent="0.25">
      <c r="A11">
        <v>0</v>
      </c>
      <c r="B11">
        <v>0</v>
      </c>
      <c r="C11">
        <v>0</v>
      </c>
      <c r="E11">
        <v>0</v>
      </c>
      <c r="F11">
        <v>0</v>
      </c>
      <c r="G11">
        <v>0</v>
      </c>
      <c r="I11">
        <v>0</v>
      </c>
      <c r="J11">
        <v>0</v>
      </c>
      <c r="K11">
        <v>0</v>
      </c>
      <c r="M11">
        <v>0</v>
      </c>
      <c r="N11">
        <v>0</v>
      </c>
      <c r="O11">
        <v>0</v>
      </c>
      <c r="Q11">
        <v>0</v>
      </c>
      <c r="R11">
        <v>0</v>
      </c>
      <c r="S11">
        <v>0</v>
      </c>
    </row>
    <row r="12" spans="1:19" x14ac:dyDescent="0.25">
      <c r="A12">
        <v>0</v>
      </c>
      <c r="B12">
        <v>0</v>
      </c>
      <c r="C12">
        <v>0</v>
      </c>
      <c r="E12">
        <v>0</v>
      </c>
      <c r="F12">
        <v>0</v>
      </c>
      <c r="G12">
        <v>0</v>
      </c>
      <c r="I12">
        <v>0</v>
      </c>
      <c r="J12">
        <v>0</v>
      </c>
      <c r="K12">
        <v>0</v>
      </c>
      <c r="M12">
        <v>0</v>
      </c>
      <c r="N12">
        <v>0</v>
      </c>
      <c r="O12">
        <v>0</v>
      </c>
      <c r="Q12">
        <v>0</v>
      </c>
      <c r="R12">
        <v>0</v>
      </c>
      <c r="S12">
        <v>0</v>
      </c>
    </row>
    <row r="13" spans="1:19" x14ac:dyDescent="0.25">
      <c r="A13">
        <v>0</v>
      </c>
      <c r="B13">
        <v>0</v>
      </c>
      <c r="C13">
        <v>0</v>
      </c>
      <c r="E13">
        <v>0</v>
      </c>
      <c r="F13">
        <v>0</v>
      </c>
      <c r="G13">
        <v>0</v>
      </c>
      <c r="I13">
        <v>0</v>
      </c>
      <c r="J13">
        <v>0</v>
      </c>
      <c r="K13">
        <v>0</v>
      </c>
      <c r="M13">
        <v>0</v>
      </c>
      <c r="N13">
        <v>0</v>
      </c>
      <c r="O13">
        <v>0</v>
      </c>
      <c r="Q13">
        <v>0</v>
      </c>
      <c r="R13">
        <v>0</v>
      </c>
      <c r="S13">
        <v>0</v>
      </c>
    </row>
    <row r="14" spans="1:19" x14ac:dyDescent="0.25">
      <c r="A14">
        <v>0</v>
      </c>
      <c r="B14">
        <v>0</v>
      </c>
      <c r="C14">
        <v>0</v>
      </c>
      <c r="E14">
        <v>0</v>
      </c>
      <c r="F14">
        <v>0</v>
      </c>
      <c r="G14">
        <v>0</v>
      </c>
      <c r="I14">
        <v>0</v>
      </c>
      <c r="J14">
        <v>0</v>
      </c>
      <c r="K14">
        <v>0</v>
      </c>
      <c r="M14">
        <v>0</v>
      </c>
      <c r="N14">
        <v>0</v>
      </c>
      <c r="O14">
        <v>0</v>
      </c>
      <c r="Q14">
        <v>0</v>
      </c>
      <c r="R14">
        <v>0</v>
      </c>
      <c r="S14">
        <v>0</v>
      </c>
    </row>
    <row r="15" spans="1:19" x14ac:dyDescent="0.25">
      <c r="A15">
        <v>0</v>
      </c>
      <c r="B15">
        <v>0</v>
      </c>
      <c r="C15">
        <v>0</v>
      </c>
      <c r="E15">
        <v>0</v>
      </c>
      <c r="F15">
        <v>0</v>
      </c>
      <c r="G15">
        <v>0</v>
      </c>
      <c r="I15">
        <v>0</v>
      </c>
      <c r="J15">
        <v>0</v>
      </c>
      <c r="K15">
        <v>0</v>
      </c>
      <c r="M15">
        <v>0</v>
      </c>
      <c r="N15">
        <v>0</v>
      </c>
      <c r="O15">
        <v>0</v>
      </c>
      <c r="Q15">
        <v>0</v>
      </c>
      <c r="R15">
        <v>0</v>
      </c>
      <c r="S15">
        <v>0</v>
      </c>
    </row>
    <row r="16" spans="1:19" x14ac:dyDescent="0.25">
      <c r="A16">
        <v>0</v>
      </c>
      <c r="B16">
        <v>0</v>
      </c>
      <c r="C16">
        <v>0</v>
      </c>
      <c r="E16">
        <v>0</v>
      </c>
      <c r="F16">
        <v>0</v>
      </c>
      <c r="G16">
        <v>0</v>
      </c>
      <c r="I16">
        <v>0</v>
      </c>
      <c r="J16">
        <v>0</v>
      </c>
      <c r="K16">
        <v>0</v>
      </c>
      <c r="M16">
        <v>0</v>
      </c>
      <c r="N16">
        <v>0</v>
      </c>
      <c r="O16">
        <v>0</v>
      </c>
      <c r="Q16">
        <v>0</v>
      </c>
      <c r="R16">
        <v>0</v>
      </c>
      <c r="S16">
        <v>0</v>
      </c>
    </row>
    <row r="17" spans="1:21" x14ac:dyDescent="0.25">
      <c r="A17">
        <v>0</v>
      </c>
      <c r="B17">
        <v>0</v>
      </c>
      <c r="C17">
        <v>0</v>
      </c>
      <c r="E17">
        <v>0</v>
      </c>
      <c r="F17">
        <v>0</v>
      </c>
      <c r="G17">
        <v>0</v>
      </c>
      <c r="I17">
        <v>0</v>
      </c>
      <c r="J17">
        <v>0</v>
      </c>
      <c r="K17">
        <v>0</v>
      </c>
      <c r="M17">
        <v>0</v>
      </c>
      <c r="N17">
        <v>0</v>
      </c>
      <c r="O17">
        <v>0</v>
      </c>
      <c r="Q17">
        <v>0</v>
      </c>
      <c r="R17">
        <v>0</v>
      </c>
      <c r="S17">
        <v>0</v>
      </c>
    </row>
    <row r="18" spans="1:21" x14ac:dyDescent="0.25">
      <c r="A18">
        <v>0</v>
      </c>
      <c r="B18">
        <v>0</v>
      </c>
      <c r="C18">
        <v>0</v>
      </c>
      <c r="E18">
        <v>0</v>
      </c>
      <c r="F18">
        <v>0</v>
      </c>
      <c r="G18">
        <v>0</v>
      </c>
      <c r="I18">
        <v>0</v>
      </c>
      <c r="J18">
        <v>0</v>
      </c>
      <c r="K18">
        <v>0</v>
      </c>
      <c r="M18">
        <v>0</v>
      </c>
      <c r="N18">
        <v>0</v>
      </c>
      <c r="O18">
        <v>0</v>
      </c>
      <c r="Q18">
        <v>0</v>
      </c>
      <c r="R18">
        <v>0</v>
      </c>
      <c r="S18">
        <v>0</v>
      </c>
    </row>
    <row r="19" spans="1:21" x14ac:dyDescent="0.25">
      <c r="A19">
        <v>0</v>
      </c>
      <c r="B19">
        <v>0</v>
      </c>
      <c r="C19">
        <v>0</v>
      </c>
      <c r="E19">
        <v>0</v>
      </c>
      <c r="F19">
        <v>0</v>
      </c>
      <c r="G19">
        <v>0</v>
      </c>
      <c r="I19">
        <v>0</v>
      </c>
      <c r="J19">
        <v>0</v>
      </c>
      <c r="K19">
        <v>0</v>
      </c>
      <c r="M19">
        <v>0</v>
      </c>
      <c r="N19">
        <v>0</v>
      </c>
      <c r="O19">
        <v>0</v>
      </c>
      <c r="Q19">
        <v>0</v>
      </c>
      <c r="R19">
        <v>0</v>
      </c>
      <c r="S19">
        <v>0</v>
      </c>
    </row>
    <row r="20" spans="1:21" x14ac:dyDescent="0.25">
      <c r="A20">
        <v>0</v>
      </c>
      <c r="B20">
        <v>0</v>
      </c>
      <c r="C20">
        <v>0</v>
      </c>
      <c r="E20">
        <v>0</v>
      </c>
      <c r="F20">
        <v>0</v>
      </c>
      <c r="G20">
        <v>0</v>
      </c>
      <c r="I20">
        <v>0</v>
      </c>
      <c r="J20">
        <v>0</v>
      </c>
      <c r="K20">
        <v>0</v>
      </c>
      <c r="M20">
        <v>0</v>
      </c>
      <c r="N20">
        <v>0</v>
      </c>
      <c r="O20">
        <v>0</v>
      </c>
      <c r="Q20">
        <v>0</v>
      </c>
      <c r="R20">
        <v>0</v>
      </c>
      <c r="S20">
        <v>0</v>
      </c>
    </row>
    <row r="21" spans="1:21" x14ac:dyDescent="0.25">
      <c r="A21">
        <v>0</v>
      </c>
      <c r="B21">
        <v>0</v>
      </c>
      <c r="C21">
        <v>0</v>
      </c>
      <c r="E21">
        <v>0</v>
      </c>
      <c r="F21">
        <v>0</v>
      </c>
      <c r="G21">
        <v>0</v>
      </c>
      <c r="I21">
        <v>0</v>
      </c>
      <c r="J21">
        <v>0</v>
      </c>
      <c r="K21">
        <v>0</v>
      </c>
      <c r="M21">
        <v>0</v>
      </c>
      <c r="N21">
        <v>0</v>
      </c>
      <c r="O21">
        <v>0</v>
      </c>
      <c r="Q21">
        <v>0</v>
      </c>
      <c r="R21">
        <v>0</v>
      </c>
      <c r="S21">
        <v>0</v>
      </c>
    </row>
    <row r="22" spans="1:21" x14ac:dyDescent="0.25">
      <c r="A22">
        <v>0</v>
      </c>
      <c r="B22">
        <v>0</v>
      </c>
      <c r="C22">
        <v>0</v>
      </c>
      <c r="E22">
        <v>0</v>
      </c>
      <c r="F22">
        <v>0</v>
      </c>
      <c r="G22">
        <v>0</v>
      </c>
      <c r="I22">
        <v>0</v>
      </c>
      <c r="J22">
        <v>0</v>
      </c>
      <c r="K22">
        <v>0</v>
      </c>
      <c r="M22">
        <v>0</v>
      </c>
      <c r="N22">
        <v>0</v>
      </c>
      <c r="O22">
        <v>0</v>
      </c>
      <c r="Q22">
        <v>0</v>
      </c>
      <c r="R22">
        <v>0</v>
      </c>
      <c r="S22">
        <v>0</v>
      </c>
    </row>
    <row r="23" spans="1:21" x14ac:dyDescent="0.25">
      <c r="A23">
        <v>0</v>
      </c>
      <c r="B23">
        <v>0</v>
      </c>
      <c r="C23">
        <v>0</v>
      </c>
      <c r="E23">
        <v>0</v>
      </c>
      <c r="F23">
        <v>0</v>
      </c>
      <c r="G23">
        <v>0</v>
      </c>
      <c r="I23">
        <v>0</v>
      </c>
      <c r="J23">
        <v>0</v>
      </c>
      <c r="K23">
        <v>0</v>
      </c>
      <c r="M23">
        <v>0</v>
      </c>
      <c r="N23">
        <v>0</v>
      </c>
      <c r="O23">
        <v>0</v>
      </c>
      <c r="Q23">
        <v>0</v>
      </c>
      <c r="R23">
        <v>0</v>
      </c>
      <c r="S23">
        <v>0</v>
      </c>
    </row>
    <row r="26" spans="1:21" ht="15.75" thickBot="1" x14ac:dyDescent="0.3"/>
    <row r="27" spans="1:21" x14ac:dyDescent="0.25">
      <c r="A27" s="44" t="s">
        <v>33</v>
      </c>
      <c r="B27" s="45" t="s">
        <v>1</v>
      </c>
      <c r="C27" s="45" t="s">
        <v>2</v>
      </c>
      <c r="D27" s="45" t="s">
        <v>3</v>
      </c>
      <c r="E27" s="45" t="s">
        <v>4</v>
      </c>
      <c r="F27" s="45" t="s">
        <v>5</v>
      </c>
      <c r="G27" s="46" t="s">
        <v>6</v>
      </c>
      <c r="I27" s="44" t="s">
        <v>38</v>
      </c>
      <c r="J27" s="45" t="s">
        <v>1</v>
      </c>
      <c r="K27" s="45" t="s">
        <v>2</v>
      </c>
      <c r="L27" s="45" t="s">
        <v>3</v>
      </c>
      <c r="M27" s="45" t="s">
        <v>4</v>
      </c>
      <c r="N27" s="46" t="s">
        <v>5</v>
      </c>
      <c r="P27" s="44" t="s">
        <v>39</v>
      </c>
      <c r="Q27" s="45" t="s">
        <v>1</v>
      </c>
      <c r="R27" s="45" t="s">
        <v>2</v>
      </c>
      <c r="S27" s="45" t="s">
        <v>3</v>
      </c>
      <c r="T27" s="45" t="s">
        <v>4</v>
      </c>
      <c r="U27" s="46" t="s">
        <v>5</v>
      </c>
    </row>
    <row r="28" spans="1:21" x14ac:dyDescent="0.25">
      <c r="A28" s="47">
        <v>1</v>
      </c>
      <c r="B28">
        <f>A4</f>
        <v>0</v>
      </c>
      <c r="C28">
        <f>E4</f>
        <v>0</v>
      </c>
      <c r="D28">
        <f>I4</f>
        <v>0</v>
      </c>
      <c r="E28">
        <f>M4</f>
        <v>0</v>
      </c>
      <c r="F28">
        <f>Q4</f>
        <v>0</v>
      </c>
      <c r="G28" s="11">
        <f>SUM(B28:F28)</f>
        <v>0</v>
      </c>
      <c r="I28" s="47">
        <v>1</v>
      </c>
      <c r="J28">
        <f>B4</f>
        <v>0</v>
      </c>
      <c r="K28">
        <f>F4</f>
        <v>0</v>
      </c>
      <c r="L28">
        <f>J4</f>
        <v>0</v>
      </c>
      <c r="M28">
        <f>N4</f>
        <v>0</v>
      </c>
      <c r="N28" s="11">
        <f>R4</f>
        <v>0</v>
      </c>
      <c r="P28" s="47">
        <v>1</v>
      </c>
      <c r="Q28">
        <f>C4</f>
        <v>0</v>
      </c>
      <c r="R28">
        <f>G4</f>
        <v>0</v>
      </c>
      <c r="S28">
        <f>K4</f>
        <v>0</v>
      </c>
      <c r="T28">
        <f>O4</f>
        <v>0</v>
      </c>
      <c r="U28" s="11">
        <f>S4</f>
        <v>0</v>
      </c>
    </row>
    <row r="29" spans="1:21" x14ac:dyDescent="0.25">
      <c r="A29" s="47">
        <v>2</v>
      </c>
      <c r="B29">
        <f t="shared" ref="B29:B47" si="0">A5</f>
        <v>0</v>
      </c>
      <c r="C29">
        <f t="shared" ref="C29:C47" si="1">E5</f>
        <v>0</v>
      </c>
      <c r="D29">
        <f t="shared" ref="D29:D47" si="2">I5</f>
        <v>0</v>
      </c>
      <c r="E29">
        <f t="shared" ref="E29:E47" si="3">M5</f>
        <v>0</v>
      </c>
      <c r="F29">
        <f t="shared" ref="F29:F47" si="4">Q5</f>
        <v>0</v>
      </c>
      <c r="G29" s="11">
        <f t="shared" ref="G29:G47" si="5">SUM(B29:F29)</f>
        <v>0</v>
      </c>
      <c r="I29" s="47">
        <v>2</v>
      </c>
      <c r="J29">
        <f t="shared" ref="J29:J47" si="6">B5</f>
        <v>0</v>
      </c>
      <c r="K29">
        <f t="shared" ref="K29:K47" si="7">F5</f>
        <v>0</v>
      </c>
      <c r="L29">
        <f t="shared" ref="L29:L47" si="8">J5</f>
        <v>0</v>
      </c>
      <c r="M29">
        <f t="shared" ref="M29:M47" si="9">N5</f>
        <v>0</v>
      </c>
      <c r="N29" s="11">
        <f t="shared" ref="N29:N47" si="10">R5</f>
        <v>0</v>
      </c>
      <c r="P29" s="47">
        <v>2</v>
      </c>
      <c r="Q29">
        <f t="shared" ref="Q29:Q47" si="11">C5</f>
        <v>0</v>
      </c>
      <c r="R29">
        <f t="shared" ref="R29:R47" si="12">G5</f>
        <v>0</v>
      </c>
      <c r="S29">
        <f t="shared" ref="S29:S47" si="13">K5</f>
        <v>0</v>
      </c>
      <c r="T29">
        <f t="shared" ref="T29:T47" si="14">O5</f>
        <v>0</v>
      </c>
      <c r="U29" s="11">
        <f t="shared" ref="U29:U47" si="15">S5</f>
        <v>0</v>
      </c>
    </row>
    <row r="30" spans="1:21" x14ac:dyDescent="0.25">
      <c r="A30" s="47">
        <v>3</v>
      </c>
      <c r="B30">
        <f t="shared" si="0"/>
        <v>0</v>
      </c>
      <c r="C30">
        <f t="shared" si="1"/>
        <v>0</v>
      </c>
      <c r="D30">
        <f t="shared" si="2"/>
        <v>0</v>
      </c>
      <c r="E30">
        <f t="shared" si="3"/>
        <v>0</v>
      </c>
      <c r="F30">
        <f t="shared" si="4"/>
        <v>0</v>
      </c>
      <c r="G30" s="11">
        <f t="shared" si="5"/>
        <v>0</v>
      </c>
      <c r="I30" s="47">
        <v>3</v>
      </c>
      <c r="J30">
        <f t="shared" si="6"/>
        <v>0</v>
      </c>
      <c r="K30">
        <f t="shared" si="7"/>
        <v>0</v>
      </c>
      <c r="L30">
        <f t="shared" si="8"/>
        <v>0</v>
      </c>
      <c r="M30">
        <f t="shared" si="9"/>
        <v>0</v>
      </c>
      <c r="N30" s="11">
        <f t="shared" si="10"/>
        <v>0</v>
      </c>
      <c r="P30" s="47">
        <v>3</v>
      </c>
      <c r="Q30">
        <f t="shared" si="11"/>
        <v>0</v>
      </c>
      <c r="R30">
        <f t="shared" si="12"/>
        <v>0</v>
      </c>
      <c r="S30">
        <f t="shared" si="13"/>
        <v>0</v>
      </c>
      <c r="T30">
        <f t="shared" si="14"/>
        <v>0</v>
      </c>
      <c r="U30" s="11">
        <f t="shared" si="15"/>
        <v>0</v>
      </c>
    </row>
    <row r="31" spans="1:21" x14ac:dyDescent="0.25">
      <c r="A31" s="47">
        <v>4</v>
      </c>
      <c r="B31">
        <f t="shared" si="0"/>
        <v>0</v>
      </c>
      <c r="C31">
        <f t="shared" si="1"/>
        <v>0</v>
      </c>
      <c r="D31">
        <f t="shared" si="2"/>
        <v>0</v>
      </c>
      <c r="E31">
        <f t="shared" si="3"/>
        <v>0</v>
      </c>
      <c r="F31">
        <f t="shared" si="4"/>
        <v>0</v>
      </c>
      <c r="G31" s="11">
        <f t="shared" si="5"/>
        <v>0</v>
      </c>
      <c r="I31" s="47">
        <v>4</v>
      </c>
      <c r="J31">
        <f t="shared" si="6"/>
        <v>0</v>
      </c>
      <c r="K31">
        <f t="shared" si="7"/>
        <v>0</v>
      </c>
      <c r="L31">
        <f t="shared" si="8"/>
        <v>0</v>
      </c>
      <c r="M31">
        <f t="shared" si="9"/>
        <v>0</v>
      </c>
      <c r="N31" s="11">
        <f t="shared" si="10"/>
        <v>0</v>
      </c>
      <c r="P31" s="47">
        <v>4</v>
      </c>
      <c r="Q31">
        <f t="shared" si="11"/>
        <v>0</v>
      </c>
      <c r="R31">
        <f t="shared" si="12"/>
        <v>0</v>
      </c>
      <c r="S31">
        <f t="shared" si="13"/>
        <v>0</v>
      </c>
      <c r="T31">
        <f t="shared" si="14"/>
        <v>0</v>
      </c>
      <c r="U31" s="11">
        <f t="shared" si="15"/>
        <v>0</v>
      </c>
    </row>
    <row r="32" spans="1:21" x14ac:dyDescent="0.25">
      <c r="A32" s="47">
        <v>5</v>
      </c>
      <c r="B32">
        <f t="shared" si="0"/>
        <v>0</v>
      </c>
      <c r="C32">
        <f t="shared" si="1"/>
        <v>0</v>
      </c>
      <c r="D32">
        <f t="shared" si="2"/>
        <v>0</v>
      </c>
      <c r="E32">
        <f t="shared" si="3"/>
        <v>0</v>
      </c>
      <c r="F32">
        <f t="shared" si="4"/>
        <v>0</v>
      </c>
      <c r="G32" s="11">
        <f t="shared" si="5"/>
        <v>0</v>
      </c>
      <c r="I32" s="47">
        <v>5</v>
      </c>
      <c r="J32">
        <f t="shared" si="6"/>
        <v>0</v>
      </c>
      <c r="K32">
        <f t="shared" si="7"/>
        <v>0</v>
      </c>
      <c r="L32">
        <f t="shared" si="8"/>
        <v>0</v>
      </c>
      <c r="M32">
        <f t="shared" si="9"/>
        <v>0</v>
      </c>
      <c r="N32" s="11">
        <f t="shared" si="10"/>
        <v>0</v>
      </c>
      <c r="P32" s="47">
        <v>5</v>
      </c>
      <c r="Q32">
        <f t="shared" si="11"/>
        <v>0</v>
      </c>
      <c r="R32">
        <f t="shared" si="12"/>
        <v>0</v>
      </c>
      <c r="S32">
        <f t="shared" si="13"/>
        <v>0</v>
      </c>
      <c r="T32">
        <f t="shared" si="14"/>
        <v>0</v>
      </c>
      <c r="U32" s="11">
        <f t="shared" si="15"/>
        <v>0</v>
      </c>
    </row>
    <row r="33" spans="1:21" x14ac:dyDescent="0.25">
      <c r="A33" s="47">
        <v>6</v>
      </c>
      <c r="B33">
        <f t="shared" si="0"/>
        <v>0</v>
      </c>
      <c r="C33">
        <f t="shared" si="1"/>
        <v>0</v>
      </c>
      <c r="D33">
        <f t="shared" si="2"/>
        <v>0</v>
      </c>
      <c r="E33">
        <f t="shared" si="3"/>
        <v>0</v>
      </c>
      <c r="F33">
        <f t="shared" si="4"/>
        <v>0</v>
      </c>
      <c r="G33" s="11">
        <f t="shared" si="5"/>
        <v>0</v>
      </c>
      <c r="I33" s="47">
        <v>6</v>
      </c>
      <c r="J33">
        <f t="shared" si="6"/>
        <v>0</v>
      </c>
      <c r="K33">
        <f t="shared" si="7"/>
        <v>0</v>
      </c>
      <c r="L33">
        <f t="shared" si="8"/>
        <v>0</v>
      </c>
      <c r="M33">
        <f t="shared" si="9"/>
        <v>0</v>
      </c>
      <c r="N33" s="11">
        <f t="shared" si="10"/>
        <v>0</v>
      </c>
      <c r="P33" s="47">
        <v>6</v>
      </c>
      <c r="Q33">
        <f t="shared" si="11"/>
        <v>0</v>
      </c>
      <c r="R33">
        <f t="shared" si="12"/>
        <v>0</v>
      </c>
      <c r="S33">
        <f t="shared" si="13"/>
        <v>0</v>
      </c>
      <c r="T33">
        <f t="shared" si="14"/>
        <v>0</v>
      </c>
      <c r="U33" s="11">
        <f t="shared" si="15"/>
        <v>0</v>
      </c>
    </row>
    <row r="34" spans="1:21" x14ac:dyDescent="0.25">
      <c r="A34" s="47">
        <v>7</v>
      </c>
      <c r="B34">
        <f t="shared" si="0"/>
        <v>0</v>
      </c>
      <c r="C34">
        <f t="shared" si="1"/>
        <v>0</v>
      </c>
      <c r="D34">
        <f t="shared" si="2"/>
        <v>0</v>
      </c>
      <c r="E34">
        <f t="shared" si="3"/>
        <v>0</v>
      </c>
      <c r="F34">
        <f t="shared" si="4"/>
        <v>0</v>
      </c>
      <c r="G34" s="11">
        <f t="shared" si="5"/>
        <v>0</v>
      </c>
      <c r="I34" s="47">
        <v>7</v>
      </c>
      <c r="J34">
        <f t="shared" si="6"/>
        <v>0</v>
      </c>
      <c r="K34">
        <f t="shared" si="7"/>
        <v>0</v>
      </c>
      <c r="L34">
        <f t="shared" si="8"/>
        <v>0</v>
      </c>
      <c r="M34">
        <f t="shared" si="9"/>
        <v>0</v>
      </c>
      <c r="N34" s="11">
        <f t="shared" si="10"/>
        <v>0</v>
      </c>
      <c r="P34" s="47">
        <v>7</v>
      </c>
      <c r="Q34">
        <f t="shared" si="11"/>
        <v>0</v>
      </c>
      <c r="R34">
        <f t="shared" si="12"/>
        <v>0</v>
      </c>
      <c r="S34">
        <f t="shared" si="13"/>
        <v>0</v>
      </c>
      <c r="T34">
        <f t="shared" si="14"/>
        <v>0</v>
      </c>
      <c r="U34" s="11">
        <f t="shared" si="15"/>
        <v>0</v>
      </c>
    </row>
    <row r="35" spans="1:21" x14ac:dyDescent="0.25">
      <c r="A35" s="47">
        <v>8</v>
      </c>
      <c r="B35">
        <f t="shared" si="0"/>
        <v>0</v>
      </c>
      <c r="C35">
        <f t="shared" si="1"/>
        <v>0</v>
      </c>
      <c r="D35">
        <f t="shared" si="2"/>
        <v>0</v>
      </c>
      <c r="E35">
        <f t="shared" si="3"/>
        <v>0</v>
      </c>
      <c r="F35">
        <f t="shared" si="4"/>
        <v>0</v>
      </c>
      <c r="G35" s="11">
        <f t="shared" si="5"/>
        <v>0</v>
      </c>
      <c r="I35" s="47">
        <v>8</v>
      </c>
      <c r="J35">
        <f t="shared" si="6"/>
        <v>0</v>
      </c>
      <c r="K35">
        <f t="shared" si="7"/>
        <v>0</v>
      </c>
      <c r="L35">
        <f t="shared" si="8"/>
        <v>0</v>
      </c>
      <c r="M35">
        <f t="shared" si="9"/>
        <v>0</v>
      </c>
      <c r="N35" s="11">
        <f t="shared" si="10"/>
        <v>0</v>
      </c>
      <c r="P35" s="47">
        <v>8</v>
      </c>
      <c r="Q35">
        <f t="shared" si="11"/>
        <v>0</v>
      </c>
      <c r="R35">
        <f t="shared" si="12"/>
        <v>0</v>
      </c>
      <c r="S35">
        <f t="shared" si="13"/>
        <v>0</v>
      </c>
      <c r="T35">
        <f t="shared" si="14"/>
        <v>0</v>
      </c>
      <c r="U35" s="11">
        <f t="shared" si="15"/>
        <v>0</v>
      </c>
    </row>
    <row r="36" spans="1:21" x14ac:dyDescent="0.25">
      <c r="A36" s="47">
        <v>9</v>
      </c>
      <c r="B36">
        <f t="shared" si="0"/>
        <v>0</v>
      </c>
      <c r="C36">
        <f t="shared" si="1"/>
        <v>0</v>
      </c>
      <c r="D36">
        <f t="shared" si="2"/>
        <v>0</v>
      </c>
      <c r="E36">
        <f t="shared" si="3"/>
        <v>0</v>
      </c>
      <c r="F36">
        <f t="shared" si="4"/>
        <v>0</v>
      </c>
      <c r="G36" s="11">
        <f t="shared" si="5"/>
        <v>0</v>
      </c>
      <c r="I36" s="47">
        <v>9</v>
      </c>
      <c r="J36">
        <f t="shared" si="6"/>
        <v>0</v>
      </c>
      <c r="K36">
        <f t="shared" si="7"/>
        <v>0</v>
      </c>
      <c r="L36">
        <f t="shared" si="8"/>
        <v>0</v>
      </c>
      <c r="M36">
        <f t="shared" si="9"/>
        <v>0</v>
      </c>
      <c r="N36" s="11">
        <f t="shared" si="10"/>
        <v>0</v>
      </c>
      <c r="P36" s="47">
        <v>9</v>
      </c>
      <c r="Q36">
        <f t="shared" si="11"/>
        <v>0</v>
      </c>
      <c r="R36">
        <f t="shared" si="12"/>
        <v>0</v>
      </c>
      <c r="S36">
        <f t="shared" si="13"/>
        <v>0</v>
      </c>
      <c r="T36">
        <f t="shared" si="14"/>
        <v>0</v>
      </c>
      <c r="U36" s="11">
        <f t="shared" si="15"/>
        <v>0</v>
      </c>
    </row>
    <row r="37" spans="1:21" x14ac:dyDescent="0.25">
      <c r="A37" s="47">
        <v>10</v>
      </c>
      <c r="B37">
        <f t="shared" si="0"/>
        <v>0</v>
      </c>
      <c r="C37">
        <f t="shared" si="1"/>
        <v>0</v>
      </c>
      <c r="D37">
        <f t="shared" si="2"/>
        <v>0</v>
      </c>
      <c r="E37">
        <f t="shared" si="3"/>
        <v>0</v>
      </c>
      <c r="F37">
        <f t="shared" si="4"/>
        <v>0</v>
      </c>
      <c r="G37" s="11">
        <f t="shared" si="5"/>
        <v>0</v>
      </c>
      <c r="I37" s="47">
        <v>10</v>
      </c>
      <c r="J37">
        <f t="shared" si="6"/>
        <v>0</v>
      </c>
      <c r="K37">
        <f t="shared" si="7"/>
        <v>0</v>
      </c>
      <c r="L37">
        <f t="shared" si="8"/>
        <v>0</v>
      </c>
      <c r="M37">
        <f t="shared" si="9"/>
        <v>0</v>
      </c>
      <c r="N37" s="11">
        <f t="shared" si="10"/>
        <v>0</v>
      </c>
      <c r="P37" s="47">
        <v>10</v>
      </c>
      <c r="Q37">
        <f t="shared" si="11"/>
        <v>0</v>
      </c>
      <c r="R37">
        <f t="shared" si="12"/>
        <v>0</v>
      </c>
      <c r="S37">
        <f t="shared" si="13"/>
        <v>0</v>
      </c>
      <c r="T37">
        <f t="shared" si="14"/>
        <v>0</v>
      </c>
      <c r="U37" s="11">
        <f t="shared" si="15"/>
        <v>0</v>
      </c>
    </row>
    <row r="38" spans="1:21" x14ac:dyDescent="0.25">
      <c r="A38" s="47">
        <v>11</v>
      </c>
      <c r="B38">
        <f t="shared" si="0"/>
        <v>0</v>
      </c>
      <c r="C38">
        <f t="shared" si="1"/>
        <v>0</v>
      </c>
      <c r="D38">
        <f t="shared" si="2"/>
        <v>0</v>
      </c>
      <c r="E38">
        <f t="shared" si="3"/>
        <v>0</v>
      </c>
      <c r="F38">
        <f t="shared" si="4"/>
        <v>0</v>
      </c>
      <c r="G38" s="11">
        <f t="shared" si="5"/>
        <v>0</v>
      </c>
      <c r="I38" s="47">
        <v>11</v>
      </c>
      <c r="J38">
        <f t="shared" si="6"/>
        <v>0</v>
      </c>
      <c r="K38">
        <f t="shared" si="7"/>
        <v>0</v>
      </c>
      <c r="L38">
        <f t="shared" si="8"/>
        <v>0</v>
      </c>
      <c r="M38">
        <f t="shared" si="9"/>
        <v>0</v>
      </c>
      <c r="N38" s="11">
        <f t="shared" si="10"/>
        <v>0</v>
      </c>
      <c r="P38" s="47">
        <v>11</v>
      </c>
      <c r="Q38">
        <f t="shared" si="11"/>
        <v>0</v>
      </c>
      <c r="R38">
        <f t="shared" si="12"/>
        <v>0</v>
      </c>
      <c r="S38">
        <f t="shared" si="13"/>
        <v>0</v>
      </c>
      <c r="T38">
        <f t="shared" si="14"/>
        <v>0</v>
      </c>
      <c r="U38" s="11">
        <f t="shared" si="15"/>
        <v>0</v>
      </c>
    </row>
    <row r="39" spans="1:21" x14ac:dyDescent="0.25">
      <c r="A39" s="47">
        <v>12</v>
      </c>
      <c r="B39">
        <f t="shared" si="0"/>
        <v>0</v>
      </c>
      <c r="C39">
        <f t="shared" si="1"/>
        <v>0</v>
      </c>
      <c r="D39">
        <f t="shared" si="2"/>
        <v>0</v>
      </c>
      <c r="E39">
        <f t="shared" si="3"/>
        <v>0</v>
      </c>
      <c r="F39">
        <f t="shared" si="4"/>
        <v>0</v>
      </c>
      <c r="G39" s="11">
        <f t="shared" si="5"/>
        <v>0</v>
      </c>
      <c r="I39" s="47">
        <v>12</v>
      </c>
      <c r="J39">
        <f t="shared" si="6"/>
        <v>0</v>
      </c>
      <c r="K39">
        <f t="shared" si="7"/>
        <v>0</v>
      </c>
      <c r="L39">
        <f t="shared" si="8"/>
        <v>0</v>
      </c>
      <c r="M39">
        <f t="shared" si="9"/>
        <v>0</v>
      </c>
      <c r="N39" s="11">
        <f t="shared" si="10"/>
        <v>0</v>
      </c>
      <c r="P39" s="47">
        <v>12</v>
      </c>
      <c r="Q39">
        <f t="shared" si="11"/>
        <v>0</v>
      </c>
      <c r="R39">
        <f t="shared" si="12"/>
        <v>0</v>
      </c>
      <c r="S39">
        <f t="shared" si="13"/>
        <v>0</v>
      </c>
      <c r="T39">
        <f t="shared" si="14"/>
        <v>0</v>
      </c>
      <c r="U39" s="11">
        <f t="shared" si="15"/>
        <v>0</v>
      </c>
    </row>
    <row r="40" spans="1:21" x14ac:dyDescent="0.25">
      <c r="A40" s="47">
        <v>13</v>
      </c>
      <c r="B40">
        <f t="shared" si="0"/>
        <v>0</v>
      </c>
      <c r="C40">
        <f t="shared" si="1"/>
        <v>0</v>
      </c>
      <c r="D40">
        <f t="shared" si="2"/>
        <v>0</v>
      </c>
      <c r="E40">
        <f t="shared" si="3"/>
        <v>0</v>
      </c>
      <c r="F40">
        <f t="shared" si="4"/>
        <v>0</v>
      </c>
      <c r="G40" s="11">
        <f t="shared" si="5"/>
        <v>0</v>
      </c>
      <c r="I40" s="47">
        <v>13</v>
      </c>
      <c r="J40">
        <f t="shared" si="6"/>
        <v>0</v>
      </c>
      <c r="K40">
        <f t="shared" si="7"/>
        <v>0</v>
      </c>
      <c r="L40">
        <f t="shared" si="8"/>
        <v>0</v>
      </c>
      <c r="M40">
        <f t="shared" si="9"/>
        <v>0</v>
      </c>
      <c r="N40" s="11">
        <f t="shared" si="10"/>
        <v>0</v>
      </c>
      <c r="P40" s="47">
        <v>13</v>
      </c>
      <c r="Q40">
        <f t="shared" si="11"/>
        <v>0</v>
      </c>
      <c r="R40">
        <f t="shared" si="12"/>
        <v>0</v>
      </c>
      <c r="S40">
        <f t="shared" si="13"/>
        <v>0</v>
      </c>
      <c r="T40">
        <f t="shared" si="14"/>
        <v>0</v>
      </c>
      <c r="U40" s="11">
        <f t="shared" si="15"/>
        <v>0</v>
      </c>
    </row>
    <row r="41" spans="1:21" x14ac:dyDescent="0.25">
      <c r="A41" s="47">
        <v>14</v>
      </c>
      <c r="B41">
        <f t="shared" si="0"/>
        <v>0</v>
      </c>
      <c r="C41">
        <f t="shared" si="1"/>
        <v>0</v>
      </c>
      <c r="D41">
        <f t="shared" si="2"/>
        <v>0</v>
      </c>
      <c r="E41">
        <f t="shared" si="3"/>
        <v>0</v>
      </c>
      <c r="F41">
        <f t="shared" si="4"/>
        <v>0</v>
      </c>
      <c r="G41" s="11">
        <f t="shared" si="5"/>
        <v>0</v>
      </c>
      <c r="I41" s="47">
        <v>14</v>
      </c>
      <c r="J41">
        <f t="shared" si="6"/>
        <v>0</v>
      </c>
      <c r="K41">
        <f t="shared" si="7"/>
        <v>0</v>
      </c>
      <c r="L41">
        <f t="shared" si="8"/>
        <v>0</v>
      </c>
      <c r="M41">
        <f t="shared" si="9"/>
        <v>0</v>
      </c>
      <c r="N41" s="11">
        <f t="shared" si="10"/>
        <v>0</v>
      </c>
      <c r="P41" s="47">
        <v>14</v>
      </c>
      <c r="Q41">
        <f t="shared" si="11"/>
        <v>0</v>
      </c>
      <c r="R41">
        <f t="shared" si="12"/>
        <v>0</v>
      </c>
      <c r="S41">
        <f t="shared" si="13"/>
        <v>0</v>
      </c>
      <c r="T41">
        <f t="shared" si="14"/>
        <v>0</v>
      </c>
      <c r="U41" s="11">
        <f t="shared" si="15"/>
        <v>0</v>
      </c>
    </row>
    <row r="42" spans="1:21" x14ac:dyDescent="0.25">
      <c r="A42" s="47">
        <v>15</v>
      </c>
      <c r="B42">
        <f t="shared" si="0"/>
        <v>0</v>
      </c>
      <c r="C42">
        <f t="shared" si="1"/>
        <v>0</v>
      </c>
      <c r="D42">
        <f t="shared" si="2"/>
        <v>0</v>
      </c>
      <c r="E42">
        <f t="shared" si="3"/>
        <v>0</v>
      </c>
      <c r="F42">
        <f t="shared" si="4"/>
        <v>0</v>
      </c>
      <c r="G42" s="11">
        <f t="shared" si="5"/>
        <v>0</v>
      </c>
      <c r="I42" s="47">
        <v>15</v>
      </c>
      <c r="J42">
        <f t="shared" si="6"/>
        <v>0</v>
      </c>
      <c r="K42">
        <f t="shared" si="7"/>
        <v>0</v>
      </c>
      <c r="L42">
        <f t="shared" si="8"/>
        <v>0</v>
      </c>
      <c r="M42">
        <f t="shared" si="9"/>
        <v>0</v>
      </c>
      <c r="N42" s="11">
        <f t="shared" si="10"/>
        <v>0</v>
      </c>
      <c r="P42" s="47">
        <v>15</v>
      </c>
      <c r="Q42">
        <f t="shared" si="11"/>
        <v>0</v>
      </c>
      <c r="R42">
        <f t="shared" si="12"/>
        <v>0</v>
      </c>
      <c r="S42">
        <f t="shared" si="13"/>
        <v>0</v>
      </c>
      <c r="T42">
        <f t="shared" si="14"/>
        <v>0</v>
      </c>
      <c r="U42" s="11">
        <f t="shared" si="15"/>
        <v>0</v>
      </c>
    </row>
    <row r="43" spans="1:21" x14ac:dyDescent="0.25">
      <c r="A43" s="47">
        <v>16</v>
      </c>
      <c r="B43">
        <f t="shared" si="0"/>
        <v>0</v>
      </c>
      <c r="C43">
        <f t="shared" si="1"/>
        <v>0</v>
      </c>
      <c r="D43">
        <f t="shared" si="2"/>
        <v>0</v>
      </c>
      <c r="E43">
        <f t="shared" si="3"/>
        <v>0</v>
      </c>
      <c r="F43">
        <f t="shared" si="4"/>
        <v>0</v>
      </c>
      <c r="G43" s="11">
        <f t="shared" si="5"/>
        <v>0</v>
      </c>
      <c r="I43" s="47">
        <v>16</v>
      </c>
      <c r="J43">
        <f t="shared" si="6"/>
        <v>0</v>
      </c>
      <c r="K43">
        <f t="shared" si="7"/>
        <v>0</v>
      </c>
      <c r="L43">
        <f t="shared" si="8"/>
        <v>0</v>
      </c>
      <c r="M43">
        <f t="shared" si="9"/>
        <v>0</v>
      </c>
      <c r="N43" s="11">
        <f t="shared" si="10"/>
        <v>0</v>
      </c>
      <c r="P43" s="47">
        <v>16</v>
      </c>
      <c r="Q43">
        <f t="shared" si="11"/>
        <v>0</v>
      </c>
      <c r="R43">
        <f t="shared" si="12"/>
        <v>0</v>
      </c>
      <c r="S43">
        <f t="shared" si="13"/>
        <v>0</v>
      </c>
      <c r="T43">
        <f t="shared" si="14"/>
        <v>0</v>
      </c>
      <c r="U43" s="11">
        <f t="shared" si="15"/>
        <v>0</v>
      </c>
    </row>
    <row r="44" spans="1:21" x14ac:dyDescent="0.25">
      <c r="A44" s="47">
        <v>17</v>
      </c>
      <c r="B44">
        <f t="shared" si="0"/>
        <v>0</v>
      </c>
      <c r="C44">
        <f t="shared" si="1"/>
        <v>0</v>
      </c>
      <c r="D44">
        <f t="shared" si="2"/>
        <v>0</v>
      </c>
      <c r="E44">
        <f t="shared" si="3"/>
        <v>0</v>
      </c>
      <c r="F44">
        <f t="shared" si="4"/>
        <v>0</v>
      </c>
      <c r="G44" s="11">
        <f t="shared" si="5"/>
        <v>0</v>
      </c>
      <c r="I44" s="47">
        <v>17</v>
      </c>
      <c r="J44">
        <f t="shared" si="6"/>
        <v>0</v>
      </c>
      <c r="K44">
        <f t="shared" si="7"/>
        <v>0</v>
      </c>
      <c r="L44">
        <f t="shared" si="8"/>
        <v>0</v>
      </c>
      <c r="M44">
        <f t="shared" si="9"/>
        <v>0</v>
      </c>
      <c r="N44" s="11">
        <f t="shared" si="10"/>
        <v>0</v>
      </c>
      <c r="P44" s="47">
        <v>17</v>
      </c>
      <c r="Q44">
        <f t="shared" si="11"/>
        <v>0</v>
      </c>
      <c r="R44">
        <f t="shared" si="12"/>
        <v>0</v>
      </c>
      <c r="S44">
        <f t="shared" si="13"/>
        <v>0</v>
      </c>
      <c r="T44">
        <f t="shared" si="14"/>
        <v>0</v>
      </c>
      <c r="U44" s="11">
        <f t="shared" si="15"/>
        <v>0</v>
      </c>
    </row>
    <row r="45" spans="1:21" x14ac:dyDescent="0.25">
      <c r="A45" s="47">
        <v>18</v>
      </c>
      <c r="B45">
        <f t="shared" si="0"/>
        <v>0</v>
      </c>
      <c r="C45">
        <f t="shared" si="1"/>
        <v>0</v>
      </c>
      <c r="D45">
        <f t="shared" si="2"/>
        <v>0</v>
      </c>
      <c r="E45">
        <f t="shared" si="3"/>
        <v>0</v>
      </c>
      <c r="F45">
        <f t="shared" si="4"/>
        <v>0</v>
      </c>
      <c r="G45" s="11">
        <f t="shared" si="5"/>
        <v>0</v>
      </c>
      <c r="I45" s="47">
        <v>18</v>
      </c>
      <c r="J45">
        <f t="shared" si="6"/>
        <v>0</v>
      </c>
      <c r="K45">
        <f t="shared" si="7"/>
        <v>0</v>
      </c>
      <c r="L45">
        <f t="shared" si="8"/>
        <v>0</v>
      </c>
      <c r="M45">
        <f t="shared" si="9"/>
        <v>0</v>
      </c>
      <c r="N45" s="11">
        <f t="shared" si="10"/>
        <v>0</v>
      </c>
      <c r="P45" s="47">
        <v>18</v>
      </c>
      <c r="Q45">
        <f t="shared" si="11"/>
        <v>0</v>
      </c>
      <c r="R45">
        <f t="shared" si="12"/>
        <v>0</v>
      </c>
      <c r="S45">
        <f t="shared" si="13"/>
        <v>0</v>
      </c>
      <c r="T45">
        <f t="shared" si="14"/>
        <v>0</v>
      </c>
      <c r="U45" s="11">
        <f t="shared" si="15"/>
        <v>0</v>
      </c>
    </row>
    <row r="46" spans="1:21" x14ac:dyDescent="0.25">
      <c r="A46" s="47">
        <v>19</v>
      </c>
      <c r="B46">
        <f t="shared" si="0"/>
        <v>0</v>
      </c>
      <c r="C46">
        <f t="shared" si="1"/>
        <v>0</v>
      </c>
      <c r="D46">
        <f t="shared" si="2"/>
        <v>0</v>
      </c>
      <c r="E46">
        <f t="shared" si="3"/>
        <v>0</v>
      </c>
      <c r="F46">
        <f t="shared" si="4"/>
        <v>0</v>
      </c>
      <c r="G46" s="11">
        <f t="shared" si="5"/>
        <v>0</v>
      </c>
      <c r="I46" s="47">
        <v>19</v>
      </c>
      <c r="J46">
        <f t="shared" si="6"/>
        <v>0</v>
      </c>
      <c r="K46">
        <f t="shared" si="7"/>
        <v>0</v>
      </c>
      <c r="L46">
        <f t="shared" si="8"/>
        <v>0</v>
      </c>
      <c r="M46">
        <f t="shared" si="9"/>
        <v>0</v>
      </c>
      <c r="N46" s="11">
        <f t="shared" si="10"/>
        <v>0</v>
      </c>
      <c r="P46" s="47">
        <v>19</v>
      </c>
      <c r="Q46">
        <f t="shared" si="11"/>
        <v>0</v>
      </c>
      <c r="R46">
        <f t="shared" si="12"/>
        <v>0</v>
      </c>
      <c r="S46">
        <f t="shared" si="13"/>
        <v>0</v>
      </c>
      <c r="T46">
        <f t="shared" si="14"/>
        <v>0</v>
      </c>
      <c r="U46" s="11">
        <f t="shared" si="15"/>
        <v>0</v>
      </c>
    </row>
    <row r="47" spans="1:21" ht="15.75" thickBot="1" x14ac:dyDescent="0.3">
      <c r="A47" s="47">
        <v>20</v>
      </c>
      <c r="B47">
        <f t="shared" si="0"/>
        <v>0</v>
      </c>
      <c r="C47">
        <f t="shared" si="1"/>
        <v>0</v>
      </c>
      <c r="D47">
        <f t="shared" si="2"/>
        <v>0</v>
      </c>
      <c r="E47">
        <f t="shared" si="3"/>
        <v>0</v>
      </c>
      <c r="F47">
        <f t="shared" si="4"/>
        <v>0</v>
      </c>
      <c r="G47" s="11">
        <f t="shared" si="5"/>
        <v>0</v>
      </c>
      <c r="I47" s="48">
        <v>20</v>
      </c>
      <c r="J47" s="13">
        <f t="shared" si="6"/>
        <v>0</v>
      </c>
      <c r="K47" s="13">
        <f t="shared" si="7"/>
        <v>0</v>
      </c>
      <c r="L47" s="13">
        <f t="shared" si="8"/>
        <v>0</v>
      </c>
      <c r="M47" s="13">
        <f t="shared" si="9"/>
        <v>0</v>
      </c>
      <c r="N47" s="14">
        <f t="shared" si="10"/>
        <v>0</v>
      </c>
      <c r="P47" s="48">
        <v>20</v>
      </c>
      <c r="Q47" s="13">
        <f t="shared" si="11"/>
        <v>0</v>
      </c>
      <c r="R47" s="13">
        <f t="shared" si="12"/>
        <v>0</v>
      </c>
      <c r="S47" s="13">
        <f t="shared" si="13"/>
        <v>0</v>
      </c>
      <c r="T47" s="13">
        <f t="shared" si="14"/>
        <v>0</v>
      </c>
      <c r="U47" s="14">
        <f t="shared" si="15"/>
        <v>0</v>
      </c>
    </row>
    <row r="48" spans="1:21" x14ac:dyDescent="0.25">
      <c r="A48" s="49" t="s">
        <v>6</v>
      </c>
      <c r="B48" s="50">
        <f>SUM(B28:B47)</f>
        <v>0</v>
      </c>
      <c r="C48" s="50">
        <f t="shared" ref="C48:F48" si="16">SUM(C28:C47)</f>
        <v>0</v>
      </c>
      <c r="D48" s="50">
        <f t="shared" si="16"/>
        <v>0</v>
      </c>
      <c r="E48" s="50">
        <f t="shared" si="16"/>
        <v>0</v>
      </c>
      <c r="F48" s="50">
        <f t="shared" si="16"/>
        <v>0</v>
      </c>
      <c r="G48" s="51">
        <f>SUM(B48:F48)</f>
        <v>0</v>
      </c>
    </row>
    <row r="52" spans="1:7" ht="15.75" thickBot="1" x14ac:dyDescent="0.3"/>
    <row r="53" spans="1:7" x14ac:dyDescent="0.25">
      <c r="A53" s="44" t="s">
        <v>37</v>
      </c>
      <c r="B53" s="45" t="s">
        <v>1</v>
      </c>
      <c r="C53" s="45" t="s">
        <v>2</v>
      </c>
      <c r="D53" s="45" t="s">
        <v>3</v>
      </c>
      <c r="E53" s="45" t="s">
        <v>4</v>
      </c>
      <c r="F53" s="45" t="s">
        <v>5</v>
      </c>
      <c r="G53" s="46" t="s">
        <v>6</v>
      </c>
    </row>
    <row r="54" spans="1:7" x14ac:dyDescent="0.25">
      <c r="A54" s="47">
        <v>1</v>
      </c>
      <c r="B54">
        <f>IF(J28=0,0,1)</f>
        <v>0</v>
      </c>
      <c r="C54">
        <f t="shared" ref="C54:F69" si="17">IF(K28=0,0,1)</f>
        <v>0</v>
      </c>
      <c r="D54">
        <f t="shared" si="17"/>
        <v>0</v>
      </c>
      <c r="E54">
        <f t="shared" si="17"/>
        <v>0</v>
      </c>
      <c r="F54">
        <f t="shared" si="17"/>
        <v>0</v>
      </c>
      <c r="G54" s="11">
        <f>SUM(B54:F54)</f>
        <v>0</v>
      </c>
    </row>
    <row r="55" spans="1:7" x14ac:dyDescent="0.25">
      <c r="A55" s="47">
        <v>2</v>
      </c>
      <c r="B55">
        <f t="shared" ref="B55:F73" si="18">IF(J29=0,0,1)</f>
        <v>0</v>
      </c>
      <c r="C55">
        <f t="shared" si="17"/>
        <v>0</v>
      </c>
      <c r="D55">
        <f t="shared" si="17"/>
        <v>0</v>
      </c>
      <c r="E55">
        <f t="shared" si="17"/>
        <v>0</v>
      </c>
      <c r="F55">
        <f t="shared" si="17"/>
        <v>0</v>
      </c>
      <c r="G55" s="11">
        <f t="shared" ref="G55:G73" si="19">SUM(B55:F55)</f>
        <v>0</v>
      </c>
    </row>
    <row r="56" spans="1:7" x14ac:dyDescent="0.25">
      <c r="A56" s="47">
        <v>3</v>
      </c>
      <c r="B56">
        <f t="shared" si="18"/>
        <v>0</v>
      </c>
      <c r="C56">
        <f t="shared" si="17"/>
        <v>0</v>
      </c>
      <c r="D56">
        <f t="shared" si="17"/>
        <v>0</v>
      </c>
      <c r="E56">
        <f t="shared" si="17"/>
        <v>0</v>
      </c>
      <c r="F56">
        <f t="shared" si="17"/>
        <v>0</v>
      </c>
      <c r="G56" s="11">
        <f t="shared" si="19"/>
        <v>0</v>
      </c>
    </row>
    <row r="57" spans="1:7" x14ac:dyDescent="0.25">
      <c r="A57" s="47">
        <v>4</v>
      </c>
      <c r="B57">
        <f t="shared" si="18"/>
        <v>0</v>
      </c>
      <c r="C57">
        <f t="shared" si="17"/>
        <v>0</v>
      </c>
      <c r="D57">
        <f t="shared" si="17"/>
        <v>0</v>
      </c>
      <c r="E57">
        <f t="shared" si="17"/>
        <v>0</v>
      </c>
      <c r="F57">
        <f t="shared" si="17"/>
        <v>0</v>
      </c>
      <c r="G57" s="11">
        <f t="shared" si="19"/>
        <v>0</v>
      </c>
    </row>
    <row r="58" spans="1:7" x14ac:dyDescent="0.25">
      <c r="A58" s="47">
        <v>5</v>
      </c>
      <c r="B58">
        <f t="shared" si="18"/>
        <v>0</v>
      </c>
      <c r="C58">
        <f t="shared" si="17"/>
        <v>0</v>
      </c>
      <c r="D58">
        <f t="shared" si="17"/>
        <v>0</v>
      </c>
      <c r="E58">
        <f t="shared" si="17"/>
        <v>0</v>
      </c>
      <c r="F58">
        <f t="shared" si="17"/>
        <v>0</v>
      </c>
      <c r="G58" s="11">
        <f t="shared" si="19"/>
        <v>0</v>
      </c>
    </row>
    <row r="59" spans="1:7" x14ac:dyDescent="0.25">
      <c r="A59" s="47">
        <v>6</v>
      </c>
      <c r="B59">
        <f t="shared" si="18"/>
        <v>0</v>
      </c>
      <c r="C59">
        <f t="shared" si="17"/>
        <v>0</v>
      </c>
      <c r="D59">
        <f t="shared" si="17"/>
        <v>0</v>
      </c>
      <c r="E59">
        <f t="shared" si="17"/>
        <v>0</v>
      </c>
      <c r="F59">
        <f t="shared" si="17"/>
        <v>0</v>
      </c>
      <c r="G59" s="11">
        <f t="shared" si="19"/>
        <v>0</v>
      </c>
    </row>
    <row r="60" spans="1:7" x14ac:dyDescent="0.25">
      <c r="A60" s="47">
        <v>7</v>
      </c>
      <c r="B60">
        <f t="shared" si="18"/>
        <v>0</v>
      </c>
      <c r="C60">
        <f t="shared" si="17"/>
        <v>0</v>
      </c>
      <c r="D60">
        <f t="shared" si="17"/>
        <v>0</v>
      </c>
      <c r="E60">
        <f t="shared" si="17"/>
        <v>0</v>
      </c>
      <c r="F60">
        <f t="shared" si="17"/>
        <v>0</v>
      </c>
      <c r="G60" s="11">
        <f t="shared" si="19"/>
        <v>0</v>
      </c>
    </row>
    <row r="61" spans="1:7" x14ac:dyDescent="0.25">
      <c r="A61" s="47">
        <v>8</v>
      </c>
      <c r="B61">
        <f t="shared" si="18"/>
        <v>0</v>
      </c>
      <c r="C61">
        <f t="shared" si="17"/>
        <v>0</v>
      </c>
      <c r="D61">
        <f t="shared" si="17"/>
        <v>0</v>
      </c>
      <c r="E61">
        <f t="shared" si="17"/>
        <v>0</v>
      </c>
      <c r="F61">
        <f t="shared" si="17"/>
        <v>0</v>
      </c>
      <c r="G61" s="11">
        <f t="shared" si="19"/>
        <v>0</v>
      </c>
    </row>
    <row r="62" spans="1:7" x14ac:dyDescent="0.25">
      <c r="A62" s="47">
        <v>9</v>
      </c>
      <c r="B62">
        <f t="shared" si="18"/>
        <v>0</v>
      </c>
      <c r="C62">
        <f t="shared" si="17"/>
        <v>0</v>
      </c>
      <c r="D62">
        <f t="shared" si="17"/>
        <v>0</v>
      </c>
      <c r="E62">
        <f t="shared" si="17"/>
        <v>0</v>
      </c>
      <c r="F62">
        <f t="shared" si="17"/>
        <v>0</v>
      </c>
      <c r="G62" s="11">
        <f t="shared" si="19"/>
        <v>0</v>
      </c>
    </row>
    <row r="63" spans="1:7" x14ac:dyDescent="0.25">
      <c r="A63" s="47">
        <v>10</v>
      </c>
      <c r="B63">
        <f t="shared" si="18"/>
        <v>0</v>
      </c>
      <c r="C63">
        <f t="shared" si="17"/>
        <v>0</v>
      </c>
      <c r="D63">
        <f t="shared" si="17"/>
        <v>0</v>
      </c>
      <c r="E63">
        <f t="shared" si="17"/>
        <v>0</v>
      </c>
      <c r="F63">
        <f t="shared" si="17"/>
        <v>0</v>
      </c>
      <c r="G63" s="11">
        <f t="shared" si="19"/>
        <v>0</v>
      </c>
    </row>
    <row r="64" spans="1:7" x14ac:dyDescent="0.25">
      <c r="A64" s="47">
        <v>11</v>
      </c>
      <c r="B64">
        <f t="shared" si="18"/>
        <v>0</v>
      </c>
      <c r="C64">
        <f t="shared" si="17"/>
        <v>0</v>
      </c>
      <c r="D64">
        <f t="shared" si="17"/>
        <v>0</v>
      </c>
      <c r="E64">
        <f t="shared" si="17"/>
        <v>0</v>
      </c>
      <c r="F64">
        <f t="shared" si="17"/>
        <v>0</v>
      </c>
      <c r="G64" s="11">
        <f t="shared" si="19"/>
        <v>0</v>
      </c>
    </row>
    <row r="65" spans="1:7" x14ac:dyDescent="0.25">
      <c r="A65" s="47">
        <v>12</v>
      </c>
      <c r="B65">
        <f t="shared" si="18"/>
        <v>0</v>
      </c>
      <c r="C65">
        <f t="shared" si="17"/>
        <v>0</v>
      </c>
      <c r="D65">
        <f t="shared" si="17"/>
        <v>0</v>
      </c>
      <c r="E65">
        <f t="shared" si="17"/>
        <v>0</v>
      </c>
      <c r="F65">
        <f t="shared" si="17"/>
        <v>0</v>
      </c>
      <c r="G65" s="11">
        <f t="shared" si="19"/>
        <v>0</v>
      </c>
    </row>
    <row r="66" spans="1:7" x14ac:dyDescent="0.25">
      <c r="A66" s="47">
        <v>13</v>
      </c>
      <c r="B66">
        <f t="shared" si="18"/>
        <v>0</v>
      </c>
      <c r="C66">
        <f t="shared" si="17"/>
        <v>0</v>
      </c>
      <c r="D66">
        <f t="shared" si="17"/>
        <v>0</v>
      </c>
      <c r="E66">
        <f t="shared" si="17"/>
        <v>0</v>
      </c>
      <c r="F66">
        <f t="shared" si="17"/>
        <v>0</v>
      </c>
      <c r="G66" s="11">
        <f t="shared" si="19"/>
        <v>0</v>
      </c>
    </row>
    <row r="67" spans="1:7" x14ac:dyDescent="0.25">
      <c r="A67" s="47">
        <v>14</v>
      </c>
      <c r="B67">
        <f t="shared" si="18"/>
        <v>0</v>
      </c>
      <c r="C67">
        <f t="shared" si="17"/>
        <v>0</v>
      </c>
      <c r="D67">
        <f t="shared" si="17"/>
        <v>0</v>
      </c>
      <c r="E67">
        <f t="shared" si="17"/>
        <v>0</v>
      </c>
      <c r="F67">
        <f t="shared" si="17"/>
        <v>0</v>
      </c>
      <c r="G67" s="11">
        <f t="shared" si="19"/>
        <v>0</v>
      </c>
    </row>
    <row r="68" spans="1:7" x14ac:dyDescent="0.25">
      <c r="A68" s="47">
        <v>15</v>
      </c>
      <c r="B68">
        <f t="shared" si="18"/>
        <v>0</v>
      </c>
      <c r="C68">
        <f t="shared" si="17"/>
        <v>0</v>
      </c>
      <c r="D68">
        <f t="shared" si="17"/>
        <v>0</v>
      </c>
      <c r="E68">
        <f t="shared" si="17"/>
        <v>0</v>
      </c>
      <c r="F68">
        <f t="shared" si="17"/>
        <v>0</v>
      </c>
      <c r="G68" s="11">
        <f t="shared" si="19"/>
        <v>0</v>
      </c>
    </row>
    <row r="69" spans="1:7" x14ac:dyDescent="0.25">
      <c r="A69" s="47">
        <v>16</v>
      </c>
      <c r="B69">
        <f t="shared" si="18"/>
        <v>0</v>
      </c>
      <c r="C69">
        <f t="shared" si="17"/>
        <v>0</v>
      </c>
      <c r="D69">
        <f t="shared" si="17"/>
        <v>0</v>
      </c>
      <c r="E69">
        <f t="shared" si="17"/>
        <v>0</v>
      </c>
      <c r="F69">
        <f t="shared" si="17"/>
        <v>0</v>
      </c>
      <c r="G69" s="11">
        <f t="shared" si="19"/>
        <v>0</v>
      </c>
    </row>
    <row r="70" spans="1:7" x14ac:dyDescent="0.25">
      <c r="A70" s="47">
        <v>17</v>
      </c>
      <c r="B70">
        <f t="shared" si="18"/>
        <v>0</v>
      </c>
      <c r="C70">
        <f t="shared" si="18"/>
        <v>0</v>
      </c>
      <c r="D70">
        <f t="shared" si="18"/>
        <v>0</v>
      </c>
      <c r="E70">
        <f t="shared" si="18"/>
        <v>0</v>
      </c>
      <c r="F70">
        <f t="shared" si="18"/>
        <v>0</v>
      </c>
      <c r="G70" s="11">
        <f t="shared" si="19"/>
        <v>0</v>
      </c>
    </row>
    <row r="71" spans="1:7" x14ac:dyDescent="0.25">
      <c r="A71" s="47">
        <v>18</v>
      </c>
      <c r="B71">
        <f t="shared" si="18"/>
        <v>0</v>
      </c>
      <c r="C71">
        <f t="shared" si="18"/>
        <v>0</v>
      </c>
      <c r="D71">
        <f t="shared" si="18"/>
        <v>0</v>
      </c>
      <c r="E71">
        <f t="shared" si="18"/>
        <v>0</v>
      </c>
      <c r="F71">
        <f t="shared" si="18"/>
        <v>0</v>
      </c>
      <c r="G71" s="11">
        <f t="shared" si="19"/>
        <v>0</v>
      </c>
    </row>
    <row r="72" spans="1:7" x14ac:dyDescent="0.25">
      <c r="A72" s="47">
        <v>19</v>
      </c>
      <c r="B72">
        <f t="shared" si="18"/>
        <v>0</v>
      </c>
      <c r="C72">
        <f t="shared" si="18"/>
        <v>0</v>
      </c>
      <c r="D72">
        <f t="shared" si="18"/>
        <v>0</v>
      </c>
      <c r="E72">
        <f t="shared" si="18"/>
        <v>0</v>
      </c>
      <c r="F72">
        <f t="shared" si="18"/>
        <v>0</v>
      </c>
      <c r="G72" s="11">
        <f t="shared" si="19"/>
        <v>0</v>
      </c>
    </row>
    <row r="73" spans="1:7" ht="15.75" thickBot="1" x14ac:dyDescent="0.3">
      <c r="A73" s="47">
        <v>20</v>
      </c>
      <c r="B73">
        <f t="shared" si="18"/>
        <v>0</v>
      </c>
      <c r="C73">
        <f t="shared" si="18"/>
        <v>0</v>
      </c>
      <c r="D73">
        <f t="shared" si="18"/>
        <v>0</v>
      </c>
      <c r="E73">
        <f t="shared" si="18"/>
        <v>0</v>
      </c>
      <c r="F73">
        <f t="shared" si="18"/>
        <v>0</v>
      </c>
      <c r="G73" s="11">
        <f t="shared" si="19"/>
        <v>0</v>
      </c>
    </row>
    <row r="74" spans="1:7" ht="15.75" thickBot="1" x14ac:dyDescent="0.3">
      <c r="A74" s="48" t="s">
        <v>6</v>
      </c>
      <c r="B74" s="13">
        <f>SUM(B54:B73)</f>
        <v>0</v>
      </c>
      <c r="C74" s="13">
        <f t="shared" ref="C74:F74" si="20">SUM(C54:C73)</f>
        <v>0</v>
      </c>
      <c r="D74" s="13">
        <f t="shared" si="20"/>
        <v>0</v>
      </c>
      <c r="E74" s="13">
        <f t="shared" si="20"/>
        <v>0</v>
      </c>
      <c r="F74" s="13">
        <f t="shared" si="20"/>
        <v>0</v>
      </c>
      <c r="G74" s="21">
        <f>SUM(B74:F74)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E836D-4354-4E63-B73F-F90577EB53C5}">
  <dimension ref="C8:E12"/>
  <sheetViews>
    <sheetView workbookViewId="0">
      <selection activeCell="F15" sqref="F15"/>
    </sheetView>
  </sheetViews>
  <sheetFormatPr defaultRowHeight="15" x14ac:dyDescent="0.25"/>
  <cols>
    <col min="1" max="8" width="16.28515625" customWidth="1"/>
  </cols>
  <sheetData>
    <row r="8" spans="3:5" ht="15.75" thickBot="1" x14ac:dyDescent="0.3"/>
    <row r="9" spans="3:5" x14ac:dyDescent="0.25">
      <c r="C9" s="43" t="s">
        <v>48</v>
      </c>
      <c r="D9" s="8" t="s">
        <v>50</v>
      </c>
      <c r="E9" s="9" t="s">
        <v>49</v>
      </c>
    </row>
    <row r="10" spans="3:5" x14ac:dyDescent="0.25">
      <c r="C10" s="10" t="s">
        <v>51</v>
      </c>
      <c r="D10" s="3" t="str">
        <f>HTTPS!G48 &amp; "%"</f>
        <v>100%</v>
      </c>
      <c r="E10" s="20" t="str">
        <f>HTTPS!G74 &amp; "%"</f>
        <v>0%</v>
      </c>
    </row>
    <row r="11" spans="3:5" x14ac:dyDescent="0.25">
      <c r="C11" s="10" t="s">
        <v>52</v>
      </c>
      <c r="D11" s="6" t="str">
        <f>'Static ARP entrys'!G48 &amp; "%"</f>
        <v>0%</v>
      </c>
      <c r="E11" s="11" t="str">
        <f>'Static ARP entrys'!G74 &amp; "%"</f>
        <v>0%</v>
      </c>
    </row>
    <row r="12" spans="3:5" ht="15.75" thickBot="1" x14ac:dyDescent="0.3">
      <c r="C12" s="12" t="s">
        <v>53</v>
      </c>
      <c r="D12" s="16" t="str">
        <f>VLANs!G48 &amp; "%"</f>
        <v>0%</v>
      </c>
      <c r="E12" s="14" t="str">
        <f>VLANs!G74 &amp; "%"</f>
        <v>0%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27914B88F87849988AB84644255648" ma:contentTypeVersion="12" ma:contentTypeDescription="Een nieuw document maken." ma:contentTypeScope="" ma:versionID="e4643b6c07a1b1204fd2600c440a3c43">
  <xsd:schema xmlns:xsd="http://www.w3.org/2001/XMLSchema" xmlns:xs="http://www.w3.org/2001/XMLSchema" xmlns:p="http://schemas.microsoft.com/office/2006/metadata/properties" xmlns:ns3="8437d325-a6d5-4061-b35a-e002cd6cfcb1" targetNamespace="http://schemas.microsoft.com/office/2006/metadata/properties" ma:root="true" ma:fieldsID="110b7d17b8fcfa84354d7d9f1045aa3a" ns3:_="">
    <xsd:import namespace="8437d325-a6d5-4061-b35a-e002cd6cfcb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37d325-a6d5-4061-b35a-e002cd6cfcb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437d325-a6d5-4061-b35a-e002cd6cfcb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72529F-0827-4E89-949F-C077E78C96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37d325-a6d5-4061-b35a-e002cd6cfc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75E3E50-74E6-4CD4-9260-C9267E521BBF}">
  <ds:schemaRefs>
    <ds:schemaRef ds:uri="http://schemas.openxmlformats.org/package/2006/metadata/core-properties"/>
    <ds:schemaRef ds:uri="http://purl.org/dc/elements/1.1/"/>
    <ds:schemaRef ds:uri="http://www.w3.org/XML/1998/namespace"/>
    <ds:schemaRef ds:uri="http://purl.org/dc/dcmitype/"/>
    <ds:schemaRef ds:uri="http://schemas.microsoft.com/office/2006/documentManagement/types"/>
    <ds:schemaRef ds:uri="http://purl.org/dc/terms/"/>
    <ds:schemaRef ds:uri="http://schemas.microsoft.com/office/infopath/2007/PartnerControls"/>
    <ds:schemaRef ds:uri="8437d325-a6d5-4061-b35a-e002cd6cfcb1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943CEAB5-3A0C-4FAF-8A62-50EE942D730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8</vt:i4>
      </vt:variant>
    </vt:vector>
  </HeadingPairs>
  <TitlesOfParts>
    <vt:vector size="8" baseType="lpstr">
      <vt:lpstr>ARP detection method</vt:lpstr>
      <vt:lpstr>Laytency detection method</vt:lpstr>
      <vt:lpstr>ARPWatch detection method</vt:lpstr>
      <vt:lpstr>effectiviteit</vt:lpstr>
      <vt:lpstr>HTTPS</vt:lpstr>
      <vt:lpstr>Static ARP entrys</vt:lpstr>
      <vt:lpstr>VLANs</vt:lpstr>
      <vt:lpstr>Impact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Vlaeminck</dc:creator>
  <cp:lastModifiedBy>Lukas Vlaeminck</cp:lastModifiedBy>
  <dcterms:created xsi:type="dcterms:W3CDTF">2026-03-06T12:30:28Z</dcterms:created>
  <dcterms:modified xsi:type="dcterms:W3CDTF">2026-04-05T22:59:54Z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0x0101009A27914B88F87849988AB84644255648</vt:lpwstr>
  </property>
</Properties>
</file>